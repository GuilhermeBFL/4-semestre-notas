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Econometria" sheetId="2" state="visible" r:id="rId2"/>
    <sheet xmlns:r="http://schemas.openxmlformats.org/officeDocument/2006/relationships" name="Estatística II" sheetId="3" state="visible" r:id="rId3"/>
    <sheet xmlns:r="http://schemas.openxmlformats.org/officeDocument/2006/relationships" name="Finanças II" sheetId="4" state="visible" r:id="rId4"/>
    <sheet xmlns:r="http://schemas.openxmlformats.org/officeDocument/2006/relationships" name="HPE" sheetId="5" state="visible" r:id="rId5"/>
    <sheet xmlns:r="http://schemas.openxmlformats.org/officeDocument/2006/relationships" name="Macro Internacional" sheetId="6" state="visible" r:id="rId6"/>
    <sheet xmlns:r="http://schemas.openxmlformats.org/officeDocument/2006/relationships" name="Micro II" sheetId="7" state="visible" r:id="rId7"/>
    <sheet xmlns:r="http://schemas.openxmlformats.org/officeDocument/2006/relationships" name="Micro II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6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EDEDED"/>
        <bgColor rgb="00EDEDED"/>
      </patternFill>
    </fill>
    <fill>
      <patternFill patternType="solid">
        <fgColor rgb="00FFD700"/>
        <bgColor rgb="00FFD700"/>
      </patternFill>
    </fill>
    <fill>
      <patternFill patternType="solid">
        <fgColor rgb="00BDD7EE"/>
        <bgColor rgb="00BDD7EE"/>
      </patternFill>
    </fill>
    <fill>
      <patternFill patternType="solid">
        <fgColor rgb="00FFFF99"/>
        <bgColor rgb="00FFFF99"/>
      </patternFill>
    </fill>
    <fill>
      <patternFill patternType="solid">
        <fgColor rgb="00595959"/>
        <bgColor rgb="00595959"/>
      </patternFill>
    </fill>
    <fill>
      <patternFill patternType="solid">
        <fgColor rgb="00D9D9D9"/>
        <bgColor rgb="00D9D9D9"/>
      </patternFill>
    </fill>
    <fill>
      <patternFill patternType="solid">
        <fgColor rgb="00833C00"/>
        <bgColor rgb="00833C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2" customWidth="1" min="4" max="4"/>
    <col width="16" customWidth="1" min="5" max="5"/>
  </cols>
  <sheetData>
    <row r="1" ht="36" customHeight="1">
      <c r="A1" s="1" t="inlineStr">
        <is>
          <t>4º SEMESTRE — PAINEL DE NOTAS</t>
        </is>
      </c>
    </row>
    <row r="2">
      <c r="A2" s="2" t="inlineStr">
        <is>
          <t>Insper  |  2026-1  |  Atualizado automaticamente com as notas inseridas em cada aba</t>
        </is>
      </c>
    </row>
    <row r="3" ht="8" customHeight="1"/>
    <row r="4" ht="18" customHeight="1">
      <c r="A4" s="3" t="inlineStr">
        <is>
          <t>Matéria</t>
        </is>
      </c>
      <c r="B4" s="3" t="inlineStr">
        <is>
          <t>Professor(es)</t>
        </is>
      </c>
      <c r="C4" s="3" t="inlineStr">
        <is>
          <t>MF Atual</t>
        </is>
      </c>
      <c r="D4" s="3" t="inlineStr">
        <is>
          <t>Situação</t>
        </is>
      </c>
      <c r="E4" s="3" t="inlineStr">
        <is>
          <t>Prova Final</t>
        </is>
      </c>
    </row>
    <row r="5" ht="18" customHeight="1">
      <c r="A5" s="4" t="inlineStr">
        <is>
          <t>Econometria</t>
        </is>
      </c>
      <c r="B5" s="5" t="inlineStr">
        <is>
          <t>Bortoluzzo / Martins</t>
        </is>
      </c>
      <c r="C5" s="6">
        <f>IF(ISNUMBER('Econometria'!C18),'Econometria'!C18,"—")</f>
        <v/>
      </c>
      <c r="D5" s="7">
        <f>IF(C5="—","—",IF(C5&gt;=5,"✓ Aprovado","Em andamento"))</f>
        <v/>
      </c>
      <c r="E5" s="8" t="inlineStr">
        <is>
          <t>27/05/2026</t>
        </is>
      </c>
    </row>
    <row r="6" ht="18" customHeight="1">
      <c r="A6" s="4" t="inlineStr">
        <is>
          <t>Estatística II</t>
        </is>
      </c>
      <c r="B6" s="5" t="inlineStr">
        <is>
          <t>M.Kelly / Rinaldo</t>
        </is>
      </c>
      <c r="C6" s="6">
        <f>IF(ISNUMBER('Estatística II'!C16),'Estatística II'!C16,"—")</f>
        <v/>
      </c>
      <c r="D6" s="7">
        <f>IF(C6="—","—",IF(C6&gt;=5,"✓ Aprovado","Em andamento"))</f>
        <v/>
      </c>
      <c r="E6" s="8" t="inlineStr">
        <is>
          <t>27/05/2026</t>
        </is>
      </c>
    </row>
    <row r="7" ht="18" customHeight="1">
      <c r="A7" s="4" t="inlineStr">
        <is>
          <t>Finanças II</t>
        </is>
      </c>
      <c r="B7" s="5" t="inlineStr">
        <is>
          <t>G.Soares / P.Neto</t>
        </is>
      </c>
      <c r="C7" s="6">
        <f>IF(ISNUMBER('Finanças II'!C19),'Finanças II'!C19,"—")</f>
        <v/>
      </c>
      <c r="D7" s="7">
        <f>IF(C7="—","—",IF(C7&gt;=5,"✓ Aprovado","Em andamento"))</f>
        <v/>
      </c>
      <c r="E7" s="8" t="inlineStr">
        <is>
          <t>26/05/2026</t>
        </is>
      </c>
    </row>
    <row r="8" ht="18" customHeight="1">
      <c r="A8" s="4" t="inlineStr">
        <is>
          <t>HPE</t>
        </is>
      </c>
      <c r="B8" s="5" t="inlineStr">
        <is>
          <t>P.Duarte / F.Leite</t>
        </is>
      </c>
      <c r="C8" s="6">
        <f>IF(ISNUMBER('HPE'!C59),'HPE'!C59,"—")</f>
        <v/>
      </c>
      <c r="D8" s="7">
        <f>IF(C8="—","—",IF(C8&gt;=5,"✓ Aprovado","Em andamento"))</f>
        <v/>
      </c>
      <c r="E8" s="8" t="inlineStr">
        <is>
          <t>28/05/2026</t>
        </is>
      </c>
    </row>
    <row r="9" ht="18" customHeight="1">
      <c r="A9" s="4" t="inlineStr">
        <is>
          <t>Macro Internacional</t>
        </is>
      </c>
      <c r="B9" s="5" t="inlineStr">
        <is>
          <t>G.Olivares / G.Duarte</t>
        </is>
      </c>
      <c r="C9" s="6">
        <f>IF(ISNUMBER('Macro Internacional'!C19),'Macro Internacional'!C19,"—")</f>
        <v/>
      </c>
      <c r="D9" s="7">
        <f>IF(C9="—","—",IF(C9&gt;=5,"✓ Aprovado","Em andamento"))</f>
        <v/>
      </c>
      <c r="E9" s="8" t="inlineStr">
        <is>
          <t>27/05/2026</t>
        </is>
      </c>
    </row>
    <row r="10" ht="18" customHeight="1">
      <c r="A10" s="4" t="inlineStr">
        <is>
          <t>Micro II</t>
        </is>
      </c>
      <c r="B10" s="5" t="inlineStr">
        <is>
          <t>Darcio / G.Carvalho</t>
        </is>
      </c>
      <c r="C10" s="6">
        <f>IF(ISNUMBER('Micro II'!C21),'Micro II'!C21,"—")</f>
        <v/>
      </c>
      <c r="D10" s="7">
        <f>IF(C10="—","—",IF(C10&gt;=5,"✓ Aprovado","Em andamento"))</f>
        <v/>
      </c>
      <c r="E10" s="8" t="inlineStr">
        <is>
          <t>27/05/2026</t>
        </is>
      </c>
    </row>
    <row r="11" ht="18" customHeight="1">
      <c r="A11" s="4" t="inlineStr">
        <is>
          <t>Micro III</t>
        </is>
      </c>
      <c r="B11" s="5" t="inlineStr">
        <is>
          <t>I.Furtado / F.Rosa</t>
        </is>
      </c>
      <c r="C11" s="6">
        <f>IF(ISNUMBER('Micro III'!C54),'Micro III'!C54,"—")</f>
        <v/>
      </c>
      <c r="D11" s="7">
        <f>IF(C11="—","—",IF(C11&gt;=5,"✓ Aprovado","Em andamento"))</f>
        <v/>
      </c>
      <c r="E11" s="8" t="inlineStr">
        <is>
          <t>27/05/2026</t>
        </is>
      </c>
    </row>
    <row r="12" ht="8" customHeight="1"/>
    <row r="13">
      <c r="A13" s="9" t="inlineStr">
        <is>
          <t>Acesse cada aba para inserir notas. Células amarelas = entrada manual. Cinzas = calculado.</t>
        </is>
      </c>
    </row>
  </sheetData>
  <mergeCells count="3">
    <mergeCell ref="A2:E2"/>
    <mergeCell ref="A1:E1"/>
    <mergeCell ref="A13:E13"/>
  </mergeCells>
  <conditionalFormatting sqref="D5">
    <cfRule type="expression" priority="1" dxfId="0">
      <formula>NOT(ISERROR(SEARCH("✓",D5)))</formula>
    </cfRule>
  </conditionalFormatting>
  <conditionalFormatting sqref="D6">
    <cfRule type="expression" priority="2" dxfId="0">
      <formula>NOT(ISERROR(SEARCH("✓",D6)))</formula>
    </cfRule>
  </conditionalFormatting>
  <conditionalFormatting sqref="D7">
    <cfRule type="expression" priority="3" dxfId="0">
      <formula>NOT(ISERROR(SEARCH("✓",D7)))</formula>
    </cfRule>
  </conditionalFormatting>
  <conditionalFormatting sqref="D8">
    <cfRule type="expression" priority="4" dxfId="0">
      <formula>NOT(ISERROR(SEARCH("✓",D8)))</formula>
    </cfRule>
  </conditionalFormatting>
  <conditionalFormatting sqref="D9">
    <cfRule type="expression" priority="5" dxfId="0">
      <formula>NOT(ISERROR(SEARCH("✓",D9)))</formula>
    </cfRule>
  </conditionalFormatting>
  <conditionalFormatting sqref="D10">
    <cfRule type="expression" priority="6" dxfId="0">
      <formula>NOT(ISERROR(SEARCH("✓",D10)))</formula>
    </cfRule>
  </conditionalFormatting>
  <conditionalFormatting sqref="D11">
    <cfRule type="expression" priority="7" dxfId="0">
      <formula>NOT(ISERROR(SEARCH("✓",D11)))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hidden="1" width="18" customWidth="1" min="6" max="6"/>
  </cols>
  <sheetData>
    <row r="1" ht="30" customHeight="1">
      <c r="A1" s="10" t="inlineStr">
        <is>
          <t>ECONOMETRIA — Controle de Notas</t>
        </is>
      </c>
    </row>
    <row r="2">
      <c r="A2" s="2" t="inlineStr">
        <is>
          <t>Prof. Adriana Bortoluzzo / Sérgio Martins  |  Turma 4ECOB  |  Qua 16:30–18:30 / Sex 14:15–16:15</t>
        </is>
      </c>
    </row>
    <row r="3">
      <c r="A3" s="9" t="inlineStr">
        <is>
          <t>MP=0,40·AI+0,60·AF  |  MF=MP se MP&lt;4  |  MF=0,75·MP+0,15·MQ+0,10·APS se MP≥4</t>
        </is>
      </c>
    </row>
    <row r="4">
      <c r="A4" s="11" t="inlineStr">
        <is>
          <t>Aprovação: MF≥5,0  |  APS zero = REPROVAÇÃO AUTOMÁTICA</t>
        </is>
      </c>
    </row>
    <row r="5" ht="6" customHeight="1"/>
    <row r="6" ht="22" customHeight="1">
      <c r="A6" s="12" t="inlineStr">
        <is>
          <t>▼  INSIRA SUAS NOTAS  (células amarelas)</t>
        </is>
      </c>
    </row>
    <row r="7" ht="18" customHeight="1">
      <c r="A7" s="3" t="inlineStr">
        <is>
          <t>Avaliação</t>
        </is>
      </c>
      <c r="B7" s="3" t="inlineStr">
        <is>
          <t>Data</t>
        </is>
      </c>
      <c r="C7" s="3" t="inlineStr">
        <is>
          <t>Nota</t>
        </is>
      </c>
      <c r="D7" s="3" t="inlineStr">
        <is>
          <t>Observações</t>
        </is>
      </c>
    </row>
    <row r="8" ht="18" customHeight="1">
      <c r="A8" s="13" t="inlineStr">
        <is>
          <t>Avaliação Intermediária (AI) — 30% (via MP)</t>
        </is>
      </c>
      <c r="B8" s="8" t="inlineStr">
        <is>
          <t>25/03/2026</t>
        </is>
      </c>
      <c r="C8" s="14" t="n"/>
      <c r="D8" s="15" t="inlineStr"/>
    </row>
    <row r="9" ht="18" customHeight="1">
      <c r="A9" s="13" t="inlineStr">
        <is>
          <t>Quiz 1 — para MQ</t>
        </is>
      </c>
      <c r="B9" s="8" t="inlineStr">
        <is>
          <t>11/03/2026</t>
        </is>
      </c>
      <c r="C9" s="14" t="n"/>
      <c r="D9" s="15" t="inlineStr"/>
    </row>
    <row r="10" ht="18" customHeight="1">
      <c r="A10" s="13" t="inlineStr">
        <is>
          <t>Quiz 2 — para MQ</t>
        </is>
      </c>
      <c r="B10" s="8" t="inlineStr">
        <is>
          <t>20/03/2026</t>
        </is>
      </c>
      <c r="C10" s="14" t="n"/>
      <c r="D10" s="15" t="inlineStr"/>
    </row>
    <row r="11" ht="18" customHeight="1">
      <c r="A11" s="13" t="inlineStr">
        <is>
          <t>Quiz 3 — para MQ</t>
        </is>
      </c>
      <c r="B11" s="8" t="inlineStr">
        <is>
          <t>08/05/2026</t>
        </is>
      </c>
      <c r="C11" s="14" t="n"/>
      <c r="D11" s="15" t="inlineStr">
        <is>
          <t>Média dos 3 quizzes = MQ (15%)</t>
        </is>
      </c>
    </row>
    <row r="12" ht="18" customHeight="1">
      <c r="A12" s="13" t="inlineStr">
        <is>
          <t>APS — Atividade em Aula (10%)</t>
        </is>
      </c>
      <c r="B12" s="8" t="inlineStr">
        <is>
          <t>ao longo</t>
        </is>
      </c>
      <c r="C12" s="14" t="n"/>
      <c r="D12" s="15" t="inlineStr">
        <is>
          <t>Nota zero = reprovação</t>
        </is>
      </c>
    </row>
    <row r="13" ht="18" customHeight="1">
      <c r="A13" s="13" t="inlineStr">
        <is>
          <t>Avaliação Final (AF) — 45% (via MP)</t>
        </is>
      </c>
      <c r="B13" s="8" t="inlineStr">
        <is>
          <t>27/05/2026</t>
        </is>
      </c>
      <c r="C13" s="14" t="n"/>
      <c r="D13" s="15" t="inlineStr"/>
    </row>
    <row r="14" ht="6" customHeight="1"/>
    <row r="15" ht="22" customHeight="1">
      <c r="A15" s="16" t="inlineStr">
        <is>
          <t>▼  CALCULADO AUTOMATICAMENTE  (não editar)</t>
        </is>
      </c>
    </row>
    <row r="16" ht="20" customHeight="1">
      <c r="A16" s="4" t="inlineStr">
        <is>
          <t>MQ (Média dos Quizzes)</t>
        </is>
      </c>
      <c r="C16" s="17">
        <f>IFERROR(AVERAGE(C9:C11),"—")</f>
        <v/>
      </c>
      <c r="D16" s="15" t="inlineStr">
        <is>
          <t>Média simples de Q1, Q2, Q3</t>
        </is>
      </c>
    </row>
    <row r="17" ht="20" customHeight="1">
      <c r="A17" s="4" t="inlineStr">
        <is>
          <t>MP (Média das Provas)</t>
        </is>
      </c>
      <c r="C17" s="17">
        <f>IF(OR(NOT(ISNUMBER(C8)),NOT(ISNUMBER(C13))),"",0.4*C8+0.6*C13)</f>
        <v/>
      </c>
      <c r="D17" s="15" t="inlineStr">
        <is>
          <t>0,40·AI + 0,60·AF</t>
        </is>
      </c>
    </row>
    <row r="18" ht="20" customHeight="1">
      <c r="A18" s="4" t="inlineStr">
        <is>
          <t>MF (Média Final)</t>
        </is>
      </c>
      <c r="C18" s="17">
        <f>IF(C17="","",IF(C17&lt;4,C17,0.75*C17+0.15*IF(ISNUMBER(C16),C16,0)+0.1*IF(ISNUMBER(C12),C12,0)))</f>
        <v/>
      </c>
      <c r="D18" s="15" t="inlineStr">
        <is>
          <t>Fórmula condicional (MP≥4)</t>
        </is>
      </c>
    </row>
    <row r="19" ht="20" customHeight="1">
      <c r="A19" s="4" t="inlineStr">
        <is>
          <t>Situação atual</t>
        </is>
      </c>
      <c r="C19" s="18">
        <f>IF(C18="","Aguardando notas...",IF(C18&gt;=5,"✓ APROVADO DIRETO!","Em andamento — veja simulação"))</f>
        <v/>
      </c>
      <c r="D19" s="15" t="inlineStr"/>
    </row>
    <row r="20" ht="6" customHeight="1"/>
    <row r="21" ht="22" customHeight="1">
      <c r="A21" s="19" t="inlineStr">
        <is>
          <t>▼  SIMULAÇÃO — O QUE PRECISO PARA PASSAR?</t>
        </is>
      </c>
    </row>
    <row r="22" ht="22" customHeight="1">
      <c r="A22" s="4" t="inlineStr">
        <is>
          <t>Nota necessária na AF (dados atuais)</t>
        </is>
      </c>
      <c r="B22" s="20" t="inlineStr">
        <is>
          <t>Brancos = 0 (pior caso)</t>
        </is>
      </c>
      <c r="C22" s="21">
        <f>IF(NOT(ISNUMBER(C8)),"Preencha a AI primeiro",IF(F22&lt;=0,"✓ Aprovado direto!",IF(F22&gt;10,"✗ Reprovado mesmo com 10 na AF","Precisa de "&amp;TEXT(ROUND(F22,2),"0.00")&amp;" na AF")))</f>
        <v/>
      </c>
      <c r="F22">
        <f>IF(NOT(ISNUMBER(C8)),-999,MAX((5-0.3*C8-0.15*IF(ISNUMBER(C16),C16,0)-0.1*IF(ISNUMBER(C12),C12,0))/0.45,(4-0.4*C8)/0.6))</f>
        <v/>
      </c>
    </row>
  </sheetData>
  <mergeCells count="7">
    <mergeCell ref="A1:D1"/>
    <mergeCell ref="A6:D6"/>
    <mergeCell ref="A4:D4"/>
    <mergeCell ref="A3:D3"/>
    <mergeCell ref="A21:D21"/>
    <mergeCell ref="A15:D15"/>
    <mergeCell ref="A2:D2"/>
  </mergeCells>
  <conditionalFormatting sqref="C19">
    <cfRule type="expression" priority="1" dxfId="0">
      <formula>NOT(ISERROR(SEARCH("✓",C19)))</formula>
    </cfRule>
  </conditionalFormatting>
  <conditionalFormatting sqref="C22">
    <cfRule type="expression" priority="2" dxfId="0">
      <formula>NOT(ISERROR(SEARCH("✓",C22)))</formula>
    </cfRule>
    <cfRule type="expression" priority="3" dxfId="1">
      <formula>NOT(ISERROR(SEARCH("✗",C22)))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hidden="1" width="18" customWidth="1" min="6" max="6"/>
  </cols>
  <sheetData>
    <row r="1" ht="30" customHeight="1">
      <c r="A1" s="10" t="inlineStr">
        <is>
          <t>ESTATÍSTICA II — Controle de Notas</t>
        </is>
      </c>
    </row>
    <row r="2">
      <c r="A2" s="2" t="inlineStr">
        <is>
          <t>Prof. Maria Kelly Venezuela / Rinaldo Artes  |  Turma 3DPA  |  Qua 19:00–21:00 / Sex 19:00–21:00</t>
        </is>
      </c>
    </row>
    <row r="3">
      <c r="A3" s="9" t="inlineStr">
        <is>
          <t>MP=0,35·PI+0,65·PF  |  MA=0,50·APS1+0,50·APS2  |  MF=MP(MP&lt;4) ou 0,80·MP+0,20·MA(MP≥4)</t>
        </is>
      </c>
    </row>
    <row r="4">
      <c r="A4" s="11" t="inlineStr">
        <is>
          <t>Aprovação: MF≥5,0  |  Não entregar NENHUMA APS = REPROVAÇÃO AUTOMÁTICA</t>
        </is>
      </c>
    </row>
    <row r="5" ht="6" customHeight="1"/>
    <row r="6" ht="22" customHeight="1">
      <c r="A6" s="12" t="inlineStr">
        <is>
          <t>▼  INSIRA SUAS NOTAS  (células amarelas)</t>
        </is>
      </c>
    </row>
    <row r="7" ht="18" customHeight="1">
      <c r="A7" s="3" t="inlineStr">
        <is>
          <t>Avaliação</t>
        </is>
      </c>
      <c r="B7" s="3" t="inlineStr">
        <is>
          <t>Data</t>
        </is>
      </c>
      <c r="C7" s="3" t="inlineStr">
        <is>
          <t>Nota</t>
        </is>
      </c>
      <c r="D7" s="3" t="inlineStr">
        <is>
          <t>Observações</t>
        </is>
      </c>
    </row>
    <row r="8" ht="18" customHeight="1">
      <c r="A8" s="13" t="inlineStr">
        <is>
          <t>PI — Prova Intermediária (35% do MP)</t>
        </is>
      </c>
      <c r="B8" s="8" t="inlineStr">
        <is>
          <t>25/03/2026</t>
        </is>
      </c>
      <c r="C8" s="14" t="n"/>
      <c r="D8" s="15" t="inlineStr"/>
    </row>
    <row r="9" ht="18" customHeight="1">
      <c r="A9" s="13" t="inlineStr">
        <is>
          <t>APS 1 — 50% da MA</t>
        </is>
      </c>
      <c r="B9" s="8" t="inlineStr">
        <is>
          <t>13/03/2026</t>
        </is>
      </c>
      <c r="C9" s="14" t="n"/>
      <c r="D9" s="15" t="inlineStr">
        <is>
          <t>Realizada em sala, individual</t>
        </is>
      </c>
    </row>
    <row r="10" ht="18" customHeight="1">
      <c r="A10" s="13" t="inlineStr">
        <is>
          <t>APS 2 — 50% da MA</t>
        </is>
      </c>
      <c r="B10" s="8" t="inlineStr">
        <is>
          <t>29/04/2026</t>
        </is>
      </c>
      <c r="C10" s="14" t="n"/>
      <c r="D10" s="15" t="inlineStr">
        <is>
          <t>Realizada em sala, individual</t>
        </is>
      </c>
    </row>
    <row r="11" ht="18" customHeight="1">
      <c r="A11" s="13" t="inlineStr">
        <is>
          <t>PF — Prova Final (65% do MP)</t>
        </is>
      </c>
      <c r="B11" s="8" t="inlineStr">
        <is>
          <t>27/05/2026</t>
        </is>
      </c>
      <c r="C11" s="14" t="n"/>
      <c r="D11" s="15" t="inlineStr"/>
    </row>
    <row r="12" ht="6" customHeight="1"/>
    <row r="13" ht="22" customHeight="1">
      <c r="A13" s="16" t="inlineStr">
        <is>
          <t>▼  CALCULADO AUTOMATICAMENTE  (não editar)</t>
        </is>
      </c>
    </row>
    <row r="14" ht="20" customHeight="1">
      <c r="A14" s="4" t="inlineStr">
        <is>
          <t>MA (Média das APS)</t>
        </is>
      </c>
      <c r="C14" s="17">
        <f>IF(AND(ISNUMBER(C9),ISNUMBER(C10)),0.5*C9+0.5*C10,IF(ISNUMBER(C9),C9,IF(ISNUMBER(C10),C10,"—")))</f>
        <v/>
      </c>
      <c r="D14" s="15" t="inlineStr">
        <is>
          <t>0,50·APS1+0,50·APS2</t>
        </is>
      </c>
    </row>
    <row r="15" ht="20" customHeight="1">
      <c r="A15" s="4" t="inlineStr">
        <is>
          <t>MP (Média das Provas)</t>
        </is>
      </c>
      <c r="C15" s="17">
        <f>IF(OR(NOT(ISNUMBER(C8)),NOT(ISNUMBER(C11))),"",0.35*C8+0.65*C11)</f>
        <v/>
      </c>
      <c r="D15" s="15" t="inlineStr">
        <is>
          <t>0,35·PI+0,65·PF</t>
        </is>
      </c>
    </row>
    <row r="16" ht="20" customHeight="1">
      <c r="A16" s="4" t="inlineStr">
        <is>
          <t>MF (Média Final)</t>
        </is>
      </c>
      <c r="C16" s="17">
        <f>IF(C15="","",IF(C15&lt;4,C15,0.8*C15+0.2*IF(ISNUMBER(C14),C14,0)))</f>
        <v/>
      </c>
      <c r="D16" s="15" t="inlineStr">
        <is>
          <t>Condicional em MP≥4</t>
        </is>
      </c>
    </row>
    <row r="17" ht="20" customHeight="1">
      <c r="A17" s="4" t="inlineStr">
        <is>
          <t>Situação atual</t>
        </is>
      </c>
      <c r="C17" s="18">
        <f>IF(C16="","Aguardando notas...",IF(C16&gt;=5,"✓ APROVADO DIRETO!","Em andamento — veja simulação"))</f>
        <v/>
      </c>
      <c r="D17" s="15" t="inlineStr"/>
    </row>
    <row r="18" ht="6" customHeight="1"/>
    <row r="19" ht="22" customHeight="1">
      <c r="A19" s="19" t="inlineStr">
        <is>
          <t>▼  SIMULAÇÃO — O QUE PRECISO PARA PASSAR?</t>
        </is>
      </c>
    </row>
    <row r="20" ht="22" customHeight="1">
      <c r="A20" s="4" t="inlineStr">
        <is>
          <t>Nota necessária na PF (dados atuais)</t>
        </is>
      </c>
      <c r="B20" s="20" t="inlineStr">
        <is>
          <t>Brancos = 0 (pior caso)</t>
        </is>
      </c>
      <c r="C20" s="21">
        <f>IF(NOT(ISNUMBER(C8)),"Preencha a PI primeiro",IF(F20&lt;=0,"✓ Aprovado direto!",IF(F20&gt;10,"✗ Reprovado mesmo com 10 na PF","Precisa de "&amp;TEXT(ROUND(F20,2),"0.00")&amp;" na PF")))</f>
        <v/>
      </c>
      <c r="F20">
        <f>IF(NOT(ISNUMBER(C8)),-999,MAX((5-0.28*C8-0.2*IF(ISNUMBER(C14),C14,0))/0.52,(4-0.35*C8)/0.65))</f>
        <v/>
      </c>
    </row>
  </sheetData>
  <mergeCells count="7">
    <mergeCell ref="A1:D1"/>
    <mergeCell ref="A6:D6"/>
    <mergeCell ref="A4:D4"/>
    <mergeCell ref="A3:D3"/>
    <mergeCell ref="A2:D2"/>
    <mergeCell ref="A19:D19"/>
    <mergeCell ref="A13:D13"/>
  </mergeCells>
  <conditionalFormatting sqref="C17">
    <cfRule type="expression" priority="1" dxfId="0">
      <formula>NOT(ISERROR(SEARCH("✓",C17)))</formula>
    </cfRule>
  </conditionalFormatting>
  <conditionalFormatting sqref="C20">
    <cfRule type="expression" priority="2" dxfId="0">
      <formula>NOT(ISERROR(SEARCH("✓",C20)))</formula>
    </cfRule>
    <cfRule type="expression" priority="3" dxfId="1">
      <formula>NOT(ISERROR(SEARCH("✗",C20)))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hidden="1" width="18" customWidth="1" min="6" max="6"/>
  </cols>
  <sheetData>
    <row r="1" ht="30" customHeight="1">
      <c r="A1" s="10" t="inlineStr">
        <is>
          <t>FINANÇAS II — Controle de Notas</t>
        </is>
      </c>
    </row>
    <row r="2">
      <c r="A2" s="2" t="inlineStr">
        <is>
          <t>Prof. Gustavo Soares / Paulo Neto  |  Turma 4ECOB  |  Ter 14:15–16:15 / Sex 09:45–11:45</t>
        </is>
      </c>
    </row>
    <row r="3">
      <c r="A3" s="9" t="inlineStr">
        <is>
          <t>MF = 0,30·PI + 0,20·MQ + 0,40·PF + 0,10·APS  |  MQ = média dos 4 melhores quizzes (de 5)</t>
        </is>
      </c>
    </row>
    <row r="4">
      <c r="A4" s="11" t="inlineStr">
        <is>
          <t>Aprovação: MF≥5,0  |  APS zero = REPROVAÇÃO AUTOMÁTICA</t>
        </is>
      </c>
    </row>
    <row r="5" ht="6" customHeight="1"/>
    <row r="6" ht="22" customHeight="1">
      <c r="A6" s="12" t="inlineStr">
        <is>
          <t>▼  INSIRA SUAS NOTAS  (células amarelas)</t>
        </is>
      </c>
    </row>
    <row r="7" ht="18" customHeight="1">
      <c r="A7" s="3" t="inlineStr">
        <is>
          <t>Avaliação</t>
        </is>
      </c>
      <c r="B7" s="3" t="inlineStr">
        <is>
          <t>Data</t>
        </is>
      </c>
      <c r="C7" s="3" t="inlineStr">
        <is>
          <t>Nota</t>
        </is>
      </c>
      <c r="D7" s="3" t="inlineStr">
        <is>
          <t>Observações</t>
        </is>
      </c>
    </row>
    <row r="8" ht="18" customHeight="1">
      <c r="A8" s="13" t="inlineStr">
        <is>
          <t>PI — Prova Intermediária (30%)</t>
        </is>
      </c>
      <c r="B8" s="8" t="inlineStr">
        <is>
          <t>24/02/2026</t>
        </is>
      </c>
      <c r="C8" s="14" t="n"/>
      <c r="D8" s="15" t="inlineStr"/>
    </row>
    <row r="9" ht="18" customHeight="1">
      <c r="A9" s="13" t="inlineStr">
        <is>
          <t>Quiz 1 (para MQ)</t>
        </is>
      </c>
      <c r="B9" s="8" t="inlineStr">
        <is>
          <t>24/02/2026</t>
        </is>
      </c>
      <c r="C9" s="14" t="n"/>
      <c r="D9" s="15" t="inlineStr"/>
    </row>
    <row r="10" ht="18" customHeight="1">
      <c r="A10" s="13" t="inlineStr">
        <is>
          <t>Quiz 2 (para MQ)</t>
        </is>
      </c>
      <c r="B10" s="8" t="inlineStr">
        <is>
          <t>10/03/2026</t>
        </is>
      </c>
      <c r="C10" s="14" t="n"/>
      <c r="D10" s="15" t="inlineStr"/>
    </row>
    <row r="11" ht="18" customHeight="1">
      <c r="A11" s="13" t="inlineStr">
        <is>
          <t>Quiz 3 (para MQ)</t>
        </is>
      </c>
      <c r="B11" s="8" t="inlineStr">
        <is>
          <t>07/04/2026</t>
        </is>
      </c>
      <c r="C11" s="14" t="n"/>
      <c r="D11" s="15" t="inlineStr"/>
    </row>
    <row r="12" ht="18" customHeight="1">
      <c r="A12" s="13" t="inlineStr">
        <is>
          <t>Quiz 4 (para MQ)</t>
        </is>
      </c>
      <c r="B12" s="8" t="inlineStr">
        <is>
          <t>05/05/2026</t>
        </is>
      </c>
      <c r="C12" s="14" t="n"/>
      <c r="D12" s="15" t="inlineStr"/>
    </row>
    <row r="13" ht="18" customHeight="1">
      <c r="A13" s="13" t="inlineStr">
        <is>
          <t>Quiz 5 (para MQ)</t>
        </is>
      </c>
      <c r="B13" s="8" t="inlineStr">
        <is>
          <t>19/05/2026</t>
        </is>
      </c>
      <c r="C13" s="14" t="n"/>
      <c r="D13" s="15" t="inlineStr">
        <is>
          <t>Descarta o pior dos 5</t>
        </is>
      </c>
    </row>
    <row r="14" ht="18" customHeight="1">
      <c r="A14" s="13" t="inlineStr">
        <is>
          <t>APS — Ativ. Pedagógica (10%)</t>
        </is>
      </c>
      <c r="B14" s="8" t="inlineStr">
        <is>
          <t>ao longo</t>
        </is>
      </c>
      <c r="C14" s="14" t="n"/>
      <c r="D14" s="15" t="inlineStr">
        <is>
          <t>Nota zero = reprovação</t>
        </is>
      </c>
    </row>
    <row r="15" ht="18" customHeight="1">
      <c r="A15" s="13" t="inlineStr">
        <is>
          <t>PF — Prova Final (40%)</t>
        </is>
      </c>
      <c r="B15" s="8" t="inlineStr">
        <is>
          <t>26/05/2026</t>
        </is>
      </c>
      <c r="C15" s="14" t="n"/>
      <c r="D15" s="15" t="inlineStr"/>
    </row>
    <row r="16" ht="6" customHeight="1"/>
    <row r="17" ht="22" customHeight="1">
      <c r="A17" s="16" t="inlineStr">
        <is>
          <t>▼  CALCULADO AUTOMATICAMENTE  (não editar)</t>
        </is>
      </c>
    </row>
    <row r="18" ht="20" customHeight="1">
      <c r="A18" s="4" t="inlineStr">
        <is>
          <t>MQ (Média dos 4 melhores quizzes)</t>
        </is>
      </c>
      <c r="C18" s="17">
        <f>IF(COUNT(C9:C13)=0,"—",IF(COUNT(C9:C13)=1,AVERAGE(C9:C13),(SUM(C9:C13)-MIN(C9:C13))/MAX(COUNT(C9:C13)-1,1)))</f>
        <v/>
      </c>
      <c r="D18" s="15" t="inlineStr">
        <is>
          <t>Descarta 1 pior dos 5</t>
        </is>
      </c>
    </row>
    <row r="19" ht="20" customHeight="1">
      <c r="A19" s="4" t="inlineStr">
        <is>
          <t>MF (Média Final)</t>
        </is>
      </c>
      <c r="C19" s="17">
        <f>IF(OR(NOT(ISNUMBER(C8)),NOT(ISNUMBER(C15))),"",0.3*C8+0.2*IF(ISNUMBER(C18),C18,0)+0.4*C15+0.1*IF(ISNUMBER(C14),C14,0))</f>
        <v/>
      </c>
      <c r="D19" s="15" t="inlineStr">
        <is>
          <t>0,30·PI+0,20·MQ+0,40·PF+0,10·APS</t>
        </is>
      </c>
    </row>
    <row r="20" ht="20" customHeight="1">
      <c r="A20" s="4" t="inlineStr">
        <is>
          <t>Situação atual</t>
        </is>
      </c>
      <c r="C20" s="18">
        <f>IF(C19="","Aguardando notas...",IF(C19&gt;=5,"✓ APROVADO DIRETO!","Em andamento — veja simulação"))</f>
        <v/>
      </c>
      <c r="D20" s="15" t="inlineStr"/>
    </row>
    <row r="21" ht="6" customHeight="1"/>
    <row r="22" ht="22" customHeight="1">
      <c r="A22" s="19" t="inlineStr">
        <is>
          <t>▼  SIMULAÇÃO — O QUE PRECISO PARA PASSAR?</t>
        </is>
      </c>
    </row>
    <row r="23" ht="22" customHeight="1">
      <c r="A23" s="4" t="inlineStr">
        <is>
          <t>Nota necessária na PF (dados atuais)</t>
        </is>
      </c>
      <c r="B23" s="20" t="inlineStr">
        <is>
          <t>Brancos = 0 (pior caso)</t>
        </is>
      </c>
      <c r="C23" s="21">
        <f>IF(NOT(ISNUMBER(C8)),"Preencha a PI primeiro",IF(F23&lt;=0,"✓ Aprovado direto!",IF(F23&gt;10,"✗ Reprovado mesmo com 10 na PF","Precisa de "&amp;TEXT(ROUND(F23,2),"0.00")&amp;" na PF")))</f>
        <v/>
      </c>
      <c r="F23">
        <f>IF(NOT(ISNUMBER(C8)),-999,(5-0.3*C8-0.2*IF(ISNUMBER(C18),C18,0)-0.1*IF(ISNUMBER(C14),C14,0))/0.4)</f>
        <v/>
      </c>
    </row>
  </sheetData>
  <mergeCells count="7">
    <mergeCell ref="A1:D1"/>
    <mergeCell ref="A17:D17"/>
    <mergeCell ref="A6:D6"/>
    <mergeCell ref="A22:D22"/>
    <mergeCell ref="A4:D4"/>
    <mergeCell ref="A3:D3"/>
    <mergeCell ref="A2:D2"/>
  </mergeCells>
  <conditionalFormatting sqref="C20">
    <cfRule type="expression" priority="1" dxfId="0">
      <formula>NOT(ISERROR(SEARCH("✓",C20)))</formula>
    </cfRule>
  </conditionalFormatting>
  <conditionalFormatting sqref="C23">
    <cfRule type="expression" priority="2" dxfId="0">
      <formula>NOT(ISERROR(SEARCH("✓",C23)))</formula>
    </cfRule>
    <cfRule type="expression" priority="3" dxfId="1">
      <formula>NOT(ISERROR(SEARCH("✗",C23)))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hidden="1" width="18" customWidth="1" min="6" max="6"/>
  </cols>
  <sheetData>
    <row r="1" ht="30" customHeight="1">
      <c r="A1" s="10" t="inlineStr">
        <is>
          <t>HPE — História do Pensamento Econômico</t>
        </is>
      </c>
    </row>
    <row r="2">
      <c r="A2" s="2" t="inlineStr">
        <is>
          <t>Prof. Pedro Duarte / Fernando Leite Neto  |  Turma 4ECOB  |  Ter 16:30–18:30 / Qui 07:30–09:30</t>
        </is>
      </c>
    </row>
    <row r="3">
      <c r="A3" s="9" t="inlineStr">
        <is>
          <t>MF=0,25·PI+0,35·PF+0,15·APS+0,20·AA+0,05·PE  |  Notas AA/PE: -1, 0 ou +1</t>
        </is>
      </c>
    </row>
    <row r="4">
      <c r="A4" s="11" t="inlineStr">
        <is>
          <t>Aprovação: MF≥5,0  E  (PI+PF)/2≥4,5  |  APS zero = REPROVAÇÃO AUTOMÁTICA</t>
        </is>
      </c>
    </row>
    <row r="5" ht="6" customHeight="1"/>
    <row r="6" ht="22" customHeight="1">
      <c r="A6" s="12" t="inlineStr">
        <is>
          <t>▼  INSIRA SUAS NOTAS  (células amarelas)</t>
        </is>
      </c>
    </row>
    <row r="7" ht="18" customHeight="1">
      <c r="A7" s="3" t="inlineStr">
        <is>
          <t>Avaliação</t>
        </is>
      </c>
      <c r="B7" s="3" t="inlineStr">
        <is>
          <t>Data</t>
        </is>
      </c>
      <c r="C7" s="3" t="inlineStr">
        <is>
          <t>Nota</t>
        </is>
      </c>
      <c r="D7" s="3" t="inlineStr">
        <is>
          <t>Observações</t>
        </is>
      </c>
    </row>
    <row r="8" ht="18" customHeight="1">
      <c r="A8" s="13" t="inlineStr">
        <is>
          <t>PI — Prova Intermediária (25%)</t>
        </is>
      </c>
      <c r="B8" s="8" t="inlineStr">
        <is>
          <t>26/03/2026</t>
        </is>
      </c>
      <c r="C8" s="14" t="n"/>
      <c r="D8" s="15" t="inlineStr"/>
    </row>
    <row r="9" ht="18" customHeight="1">
      <c r="A9" s="13" t="inlineStr">
        <is>
          <t>PF — Prova Final (35%)</t>
        </is>
      </c>
      <c r="B9" s="8" t="inlineStr">
        <is>
          <t>28/05/2026</t>
        </is>
      </c>
      <c r="C9" s="14" t="n"/>
      <c r="D9" s="15" t="inlineStr"/>
    </row>
    <row r="10" ht="18" customHeight="1">
      <c r="A10" s="13" t="inlineStr">
        <is>
          <t>APS — Ativ. Prática (15%)</t>
        </is>
      </c>
      <c r="B10" s="8" t="inlineStr">
        <is>
          <t>ao longo</t>
        </is>
      </c>
      <c r="C10" s="14" t="n"/>
      <c r="D10" s="15" t="inlineStr">
        <is>
          <t>2 APS no semestre; nota zero = reprovação</t>
        </is>
      </c>
    </row>
    <row r="11" ht="6" customHeight="1"/>
    <row r="12" ht="20" customHeight="1">
      <c r="A12" s="22" t="inlineStr">
        <is>
          <t>▼  ATIVIDADES DE APRENDIZAGEM (AA) — insira -1, 0 ou +1 nas células amarelas</t>
        </is>
      </c>
    </row>
    <row r="13" ht="16" customHeight="1">
      <c r="A13" s="23" t="inlineStr">
        <is>
          <t>Aula/Data</t>
        </is>
      </c>
      <c r="B13" s="23" t="inlineStr">
        <is>
          <t>Tópico</t>
        </is>
      </c>
      <c r="C13" s="23" t="inlineStr">
        <is>
          <t>Nota (-1/0/+1)</t>
        </is>
      </c>
      <c r="D13" s="23" t="inlineStr">
        <is>
          <t>Obs</t>
        </is>
      </c>
    </row>
    <row r="14" ht="15" customHeight="1">
      <c r="A14" s="8" t="inlineStr">
        <is>
          <t>AA 1</t>
        </is>
      </c>
      <c r="B14" s="24" t="inlineStr"/>
      <c r="C14" s="14" t="n"/>
      <c r="D14" s="25" t="inlineStr"/>
    </row>
    <row r="15" ht="15" customHeight="1">
      <c r="A15" s="8" t="inlineStr">
        <is>
          <t>AA 2</t>
        </is>
      </c>
      <c r="B15" s="24" t="inlineStr"/>
      <c r="C15" s="14" t="n"/>
      <c r="D15" s="25" t="inlineStr"/>
    </row>
    <row r="16" ht="15" customHeight="1">
      <c r="A16" s="8" t="inlineStr">
        <is>
          <t>AA 3</t>
        </is>
      </c>
      <c r="B16" s="24" t="inlineStr"/>
      <c r="C16" s="14" t="n"/>
      <c r="D16" s="25" t="inlineStr"/>
    </row>
    <row r="17" ht="15" customHeight="1">
      <c r="A17" s="8" t="inlineStr">
        <is>
          <t>AA 4</t>
        </is>
      </c>
      <c r="B17" s="24" t="inlineStr"/>
      <c r="C17" s="14" t="n"/>
      <c r="D17" s="25" t="inlineStr"/>
    </row>
    <row r="18" ht="15" customHeight="1">
      <c r="A18" s="8" t="inlineStr">
        <is>
          <t>AA 5</t>
        </is>
      </c>
      <c r="B18" s="24" t="inlineStr"/>
      <c r="C18" s="14" t="n"/>
      <c r="D18" s="25" t="inlineStr"/>
    </row>
    <row r="19" ht="15" customHeight="1">
      <c r="A19" s="8" t="inlineStr">
        <is>
          <t>AA 6</t>
        </is>
      </c>
      <c r="B19" s="24" t="inlineStr"/>
      <c r="C19" s="14" t="n"/>
      <c r="D19" s="25" t="inlineStr"/>
    </row>
    <row r="20" ht="15" customHeight="1">
      <c r="A20" s="8" t="inlineStr">
        <is>
          <t>AA 7</t>
        </is>
      </c>
      <c r="B20" s="24" t="inlineStr"/>
      <c r="C20" s="14" t="n"/>
      <c r="D20" s="25" t="inlineStr"/>
    </row>
    <row r="21" ht="15" customHeight="1">
      <c r="A21" s="8" t="inlineStr">
        <is>
          <t>AA 8</t>
        </is>
      </c>
      <c r="B21" s="24" t="inlineStr"/>
      <c r="C21" s="14" t="n"/>
      <c r="D21" s="25" t="inlineStr"/>
    </row>
    <row r="22" ht="15" customHeight="1">
      <c r="A22" s="8" t="inlineStr">
        <is>
          <t>AA 9</t>
        </is>
      </c>
      <c r="B22" s="24" t="inlineStr"/>
      <c r="C22" s="14" t="n"/>
      <c r="D22" s="25" t="inlineStr"/>
    </row>
    <row r="23" ht="15" customHeight="1">
      <c r="A23" s="8" t="inlineStr">
        <is>
          <t>AA 10</t>
        </is>
      </c>
      <c r="B23" s="24" t="inlineStr"/>
      <c r="C23" s="14" t="n"/>
      <c r="D23" s="25" t="inlineStr"/>
    </row>
    <row r="24" ht="15" customHeight="1">
      <c r="A24" s="8" t="inlineStr">
        <is>
          <t>AA 11</t>
        </is>
      </c>
      <c r="B24" s="24" t="inlineStr"/>
      <c r="C24" s="14" t="n"/>
      <c r="D24" s="25" t="inlineStr"/>
    </row>
    <row r="25" ht="15" customHeight="1">
      <c r="A25" s="8" t="inlineStr">
        <is>
          <t>AA 12</t>
        </is>
      </c>
      <c r="B25" s="24" t="inlineStr"/>
      <c r="C25" s="14" t="n"/>
      <c r="D25" s="25" t="inlineStr"/>
    </row>
    <row r="26" ht="15" customHeight="1">
      <c r="A26" s="8" t="inlineStr">
        <is>
          <t>AA 13</t>
        </is>
      </c>
      <c r="B26" s="24" t="inlineStr"/>
      <c r="C26" s="14" t="n"/>
      <c r="D26" s="25" t="inlineStr"/>
    </row>
    <row r="27" ht="15" customHeight="1">
      <c r="A27" s="8" t="inlineStr">
        <is>
          <t>AA 14</t>
        </is>
      </c>
      <c r="B27" s="24" t="inlineStr"/>
      <c r="C27" s="14" t="n"/>
      <c r="D27" s="25" t="inlineStr"/>
    </row>
    <row r="28" ht="15" customHeight="1">
      <c r="A28" s="8" t="inlineStr">
        <is>
          <t>AA 15</t>
        </is>
      </c>
      <c r="B28" s="24" t="inlineStr"/>
      <c r="C28" s="14" t="n"/>
      <c r="D28" s="25" t="inlineStr"/>
    </row>
    <row r="29" ht="15" customHeight="1">
      <c r="A29" s="8" t="inlineStr">
        <is>
          <t>AA 16</t>
        </is>
      </c>
      <c r="B29" s="24" t="inlineStr"/>
      <c r="C29" s="14" t="n"/>
      <c r="D29" s="25" t="inlineStr"/>
    </row>
    <row r="30" ht="15" customHeight="1">
      <c r="A30" s="8" t="inlineStr">
        <is>
          <t>AA 17</t>
        </is>
      </c>
      <c r="B30" s="24" t="inlineStr"/>
      <c r="C30" s="14" t="n"/>
      <c r="D30" s="25" t="inlineStr"/>
    </row>
    <row r="31" ht="15" customHeight="1">
      <c r="A31" s="8" t="inlineStr">
        <is>
          <t>AA 18</t>
        </is>
      </c>
      <c r="B31" s="24" t="inlineStr"/>
      <c r="C31" s="14" t="n"/>
      <c r="D31" s="25" t="inlineStr"/>
    </row>
    <row r="32" ht="15" customHeight="1">
      <c r="A32" s="8" t="inlineStr">
        <is>
          <t>AA 19</t>
        </is>
      </c>
      <c r="B32" s="24" t="inlineStr"/>
      <c r="C32" s="14" t="n"/>
      <c r="D32" s="25" t="inlineStr"/>
    </row>
    <row r="33" ht="15" customHeight="1">
      <c r="A33" s="8" t="inlineStr">
        <is>
          <t>AA 20</t>
        </is>
      </c>
      <c r="B33" s="24" t="inlineStr"/>
      <c r="C33" s="14" t="n"/>
      <c r="D33" s="25" t="inlineStr"/>
    </row>
    <row r="34" ht="6" customHeight="1"/>
    <row r="35" ht="20" customHeight="1">
      <c r="A35" s="22" t="inlineStr">
        <is>
          <t>▼  PERGUNTAS SOBRE APRESENTAÇÕES (PE) — insira -1, 0 ou +1</t>
        </is>
      </c>
    </row>
    <row r="36" ht="16" customHeight="1">
      <c r="A36" s="23" t="inlineStr">
        <is>
          <t>Aula/Data</t>
        </is>
      </c>
      <c r="B36" s="23" t="inlineStr">
        <is>
          <t>Tópico</t>
        </is>
      </c>
      <c r="C36" s="23" t="inlineStr">
        <is>
          <t>Nota (-1/0/+1)</t>
        </is>
      </c>
      <c r="D36" s="23" t="inlineStr">
        <is>
          <t>Obs</t>
        </is>
      </c>
    </row>
    <row r="37" ht="15" customHeight="1">
      <c r="A37" s="8" t="inlineStr">
        <is>
          <t>PE 1</t>
        </is>
      </c>
      <c r="B37" s="24" t="inlineStr"/>
      <c r="C37" s="14" t="n"/>
      <c r="D37" s="25" t="inlineStr"/>
    </row>
    <row r="38" ht="15" customHeight="1">
      <c r="A38" s="8" t="inlineStr">
        <is>
          <t>PE 2</t>
        </is>
      </c>
      <c r="B38" s="24" t="inlineStr"/>
      <c r="C38" s="14" t="n"/>
      <c r="D38" s="25" t="inlineStr"/>
    </row>
    <row r="39" ht="15" customHeight="1">
      <c r="A39" s="8" t="inlineStr">
        <is>
          <t>PE 3</t>
        </is>
      </c>
      <c r="B39" s="24" t="inlineStr"/>
      <c r="C39" s="14" t="n"/>
      <c r="D39" s="25" t="inlineStr"/>
    </row>
    <row r="40" ht="15" customHeight="1">
      <c r="A40" s="8" t="inlineStr">
        <is>
          <t>PE 4</t>
        </is>
      </c>
      <c r="B40" s="24" t="inlineStr"/>
      <c r="C40" s="14" t="n"/>
      <c r="D40" s="25" t="inlineStr"/>
    </row>
    <row r="41" ht="15" customHeight="1">
      <c r="A41" s="8" t="inlineStr">
        <is>
          <t>PE 5</t>
        </is>
      </c>
      <c r="B41" s="24" t="inlineStr"/>
      <c r="C41" s="14" t="n"/>
      <c r="D41" s="25" t="inlineStr"/>
    </row>
    <row r="42" ht="15" customHeight="1">
      <c r="A42" s="8" t="inlineStr">
        <is>
          <t>PE 6</t>
        </is>
      </c>
      <c r="B42" s="24" t="inlineStr"/>
      <c r="C42" s="14" t="n"/>
      <c r="D42" s="25" t="inlineStr"/>
    </row>
    <row r="43" ht="15" customHeight="1">
      <c r="A43" s="8" t="inlineStr">
        <is>
          <t>PE 7</t>
        </is>
      </c>
      <c r="B43" s="24" t="inlineStr"/>
      <c r="C43" s="14" t="n"/>
      <c r="D43" s="25" t="inlineStr"/>
    </row>
    <row r="44" ht="15" customHeight="1">
      <c r="A44" s="8" t="inlineStr">
        <is>
          <t>PE 8</t>
        </is>
      </c>
      <c r="B44" s="24" t="inlineStr"/>
      <c r="C44" s="14" t="n"/>
      <c r="D44" s="25" t="inlineStr"/>
    </row>
    <row r="45" ht="15" customHeight="1">
      <c r="A45" s="8" t="inlineStr">
        <is>
          <t>PE 9</t>
        </is>
      </c>
      <c r="B45" s="24" t="inlineStr"/>
      <c r="C45" s="14" t="n"/>
      <c r="D45" s="25" t="inlineStr"/>
    </row>
    <row r="46" ht="15" customHeight="1">
      <c r="A46" s="8" t="inlineStr">
        <is>
          <t>PE 10</t>
        </is>
      </c>
      <c r="B46" s="24" t="inlineStr"/>
      <c r="C46" s="14" t="n"/>
      <c r="D46" s="25" t="inlineStr"/>
    </row>
    <row r="47" ht="15" customHeight="1">
      <c r="A47" s="8" t="inlineStr">
        <is>
          <t>PE 11</t>
        </is>
      </c>
      <c r="B47" s="24" t="inlineStr"/>
      <c r="C47" s="14" t="n"/>
      <c r="D47" s="25" t="inlineStr"/>
    </row>
    <row r="48" ht="15" customHeight="1">
      <c r="A48" s="8" t="inlineStr">
        <is>
          <t>PE 12</t>
        </is>
      </c>
      <c r="B48" s="24" t="inlineStr"/>
      <c r="C48" s="14" t="n"/>
      <c r="D48" s="25" t="inlineStr"/>
    </row>
    <row r="49" ht="15" customHeight="1">
      <c r="A49" s="8" t="inlineStr">
        <is>
          <t>PE 13</t>
        </is>
      </c>
      <c r="B49" s="24" t="inlineStr"/>
      <c r="C49" s="14" t="n"/>
      <c r="D49" s="25" t="inlineStr"/>
    </row>
    <row r="50" ht="15" customHeight="1">
      <c r="A50" s="8" t="inlineStr">
        <is>
          <t>PE 14</t>
        </is>
      </c>
      <c r="B50" s="24" t="inlineStr"/>
      <c r="C50" s="14" t="n"/>
      <c r="D50" s="25" t="inlineStr"/>
    </row>
    <row r="51" ht="15" customHeight="1">
      <c r="A51" s="8" t="inlineStr">
        <is>
          <t>PE 15</t>
        </is>
      </c>
      <c r="B51" s="24" t="inlineStr"/>
      <c r="C51" s="14" t="n"/>
      <c r="D51" s="25" t="inlineStr"/>
    </row>
    <row r="52" ht="6" customHeight="1"/>
    <row r="53" ht="22" customHeight="1">
      <c r="A53" s="16" t="inlineStr">
        <is>
          <t>▼  CALCULADO AUTOMATICAMENTE  (não editar)</t>
        </is>
      </c>
    </row>
    <row r="54" ht="20" customHeight="1">
      <c r="A54" s="4" t="inlineStr">
        <is>
          <t>Média AA (após descarte do pior)</t>
        </is>
      </c>
      <c r="C54" s="17">
        <f>IF(COUNT(C14:C33)=0,"—",IF(COUNT(C14:C33)&gt;=2,(SUM(C14:C33)-MIN(C14:C33))/(COUNT(C14:C33)-1),AVERAGE(C14:C33)))</f>
        <v/>
      </c>
      <c r="D54" s="15" t="inlineStr">
        <is>
          <t>Descarta 1 se ≥2 AA feitas</t>
        </is>
      </c>
    </row>
    <row r="55" ht="20" customHeight="1">
      <c r="A55" s="4" t="inlineStr">
        <is>
          <t>Nota AA (escala 0–12)</t>
        </is>
      </c>
      <c r="C55" s="17">
        <f>IF(C54="—","—",IF(C54&lt;=-0.75,0,IF(C54&lt;=-0.501,2,IF(C54&lt;=-0.01,4,IF(C54&lt;=0.19,6,IF(C54&lt;=0.39,8,IF(C54&lt;=0.59,10,12)))))))</f>
        <v/>
      </c>
      <c r="D55" s="15" t="inlineStr">
        <is>
          <t>Tabela de conversão do plano</t>
        </is>
      </c>
    </row>
    <row r="56" ht="20" customHeight="1">
      <c r="A56" s="4" t="inlineStr">
        <is>
          <t>Média PE (sem descarte)</t>
        </is>
      </c>
      <c r="C56" s="17">
        <f>IF(COUNT(C37:C51)=0,"—",AVERAGE(C37:C51))</f>
        <v/>
      </c>
      <c r="D56" s="15" t="inlineStr">
        <is>
          <t>Média simples de todas as PE</t>
        </is>
      </c>
    </row>
    <row r="57" ht="20" customHeight="1">
      <c r="A57" s="4" t="inlineStr">
        <is>
          <t>Nota PE (escala 0–10)</t>
        </is>
      </c>
      <c r="C57" s="17">
        <f>IF(C56="—","—",IF(C56&lt;=-0.75,0,IF(C56&lt;=-0.01,3,IF(C56&lt;=0.29,6,10))))</f>
        <v/>
      </c>
      <c r="D57" s="15" t="inlineStr">
        <is>
          <t>Tabela de conversão do plano</t>
        </is>
      </c>
    </row>
    <row r="58" ht="20" customHeight="1">
      <c r="A58" s="4" t="inlineStr">
        <is>
          <t>MPF = (PI+PF)/2</t>
        </is>
      </c>
      <c r="C58" s="17">
        <f>IF(OR(NOT(ISNUMBER(C8)),NOT(ISNUMBER(C9))),"",( C8+C9)/2)</f>
        <v/>
      </c>
      <c r="D58" s="15" t="inlineStr">
        <is>
          <t>Mínimo 4,5 p/ usar fórmula completa</t>
        </is>
      </c>
    </row>
    <row r="59" ht="20" customHeight="1">
      <c r="A59" s="4" t="inlineStr">
        <is>
          <t>MF (Média Final)</t>
        </is>
      </c>
      <c r="C59" s="17">
        <f>IF(C58="","",IF(C58&lt;4.5,C58,0.25*C8+0.35*C9+0.15*IF(ISNUMBER(C10),C10,0)+0.20*IF(ISNUMBER(C55),C55,0)+0.05*IF(ISNUMBER(C57),C57,0)))</f>
        <v/>
      </c>
      <c r="D59" s="15" t="inlineStr">
        <is>
          <t>Condicional em MPF≥4,5</t>
        </is>
      </c>
    </row>
    <row r="60" ht="20" customHeight="1">
      <c r="A60" s="4" t="inlineStr">
        <is>
          <t>Situação atual</t>
        </is>
      </c>
      <c r="C60" s="18">
        <f>IF(C59="","Aguardando notas...",IF(C59&gt;=5,"✓ APROVADO DIRETO!","Em andamento — veja simulação"))</f>
        <v/>
      </c>
      <c r="D60" s="15" t="inlineStr"/>
    </row>
    <row r="61" ht="6" customHeight="1"/>
    <row r="62" ht="22" customHeight="1">
      <c r="A62" s="19" t="inlineStr">
        <is>
          <t>▼  SIMULAÇÃO — O QUE PRECISO PARA PASSAR?</t>
        </is>
      </c>
    </row>
    <row r="63" ht="22" customHeight="1">
      <c r="A63" s="4" t="inlineStr">
        <is>
          <t>Nota necessária na PF (dados atuais)</t>
        </is>
      </c>
      <c r="B63" s="20" t="inlineStr">
        <is>
          <t>Brancos/vazios = 0 (pior caso)</t>
        </is>
      </c>
      <c r="C63" s="21">
        <f>IF(NOT(ISNUMBER(C8)),"Preencha a PI primeiro",IF(F63&lt;=0,"✓ Aprovado direto!",IF(F63&gt;10,"✗ Reprovado mesmo com 10 na PF","Precisa de "&amp;TEXT(ROUND(F63,2),"0.00")&amp;" na PF")))</f>
        <v/>
      </c>
      <c r="F63">
        <f>IF(NOT(ISNUMBER(C8)),-999,MAX(9-C8,(5-0.25*C8-0.15*IF(ISNUMBER(C10),C10,0)-0.2*IF(ISNUMBER(C55),C55,0)-0.05*IF(ISNUMBER(C57),C57,0))/0.35))</f>
        <v/>
      </c>
    </row>
    <row r="64" ht="6" customHeight="1">
      <c r="A64" s="26" t="inlineStr">
        <is>
          <t>Dica: adicione novas AA/PE nas próximas linhas livres. O cálculo atualiza automaticamente.</t>
        </is>
      </c>
    </row>
  </sheetData>
  <mergeCells count="10">
    <mergeCell ref="A1:D1"/>
    <mergeCell ref="A6:D6"/>
    <mergeCell ref="A53:D53"/>
    <mergeCell ref="A12:D12"/>
    <mergeCell ref="A4:D4"/>
    <mergeCell ref="A35:D35"/>
    <mergeCell ref="A3:D3"/>
    <mergeCell ref="A62:D62"/>
    <mergeCell ref="A64:D64"/>
    <mergeCell ref="A2:D2"/>
  </mergeCells>
  <conditionalFormatting sqref="C60">
    <cfRule type="expression" priority="1" dxfId="0">
      <formula>NOT(ISERROR(SEARCH("✓",C60)))</formula>
    </cfRule>
  </conditionalFormatting>
  <conditionalFormatting sqref="C63">
    <cfRule type="expression" priority="2" dxfId="0">
      <formula>NOT(ISERROR(SEARCH("✓",C63)))</formula>
    </cfRule>
    <cfRule type="expression" priority="3" dxfId="1">
      <formula>NOT(ISERROR(SEARCH("✗",C63)))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hidden="1" width="18" customWidth="1" min="6" max="6"/>
  </cols>
  <sheetData>
    <row r="1" ht="30" customHeight="1">
      <c r="A1" s="10" t="inlineStr">
        <is>
          <t>MACROECONOMIA INTERNACIONAL — Controle de Notas</t>
        </is>
      </c>
    </row>
    <row r="2">
      <c r="A2" s="2" t="inlineStr">
        <is>
          <t>Prof. Gino Olivares / Guilherme Duarte  |  Turma 4ECOB  |  Seg 16:30–18:30 / Qua 09:45–11:45</t>
        </is>
      </c>
    </row>
    <row r="3">
      <c r="A3" s="9" t="inlineStr">
        <is>
          <t>MPP=0,40·AI+0,50·AF+0,10·APS  |  MSP=(AI+AF)/2  |  MF=MSP(MSP&lt;4,5) ou MPP(MSP≥4,5)</t>
        </is>
      </c>
    </row>
    <row r="4">
      <c r="A4" s="11" t="inlineStr">
        <is>
          <t>Aprovação: MSP≥4,5 E MF≥5,0  |  APS zero = REPROVAÇÃO AUTOMÁTICA</t>
        </is>
      </c>
    </row>
    <row r="5" ht="6" customHeight="1"/>
    <row r="6" ht="22" customHeight="1">
      <c r="A6" s="12" t="inlineStr">
        <is>
          <t>▼  INSIRA SUAS NOTAS  (células amarelas)</t>
        </is>
      </c>
    </row>
    <row r="7" ht="18" customHeight="1">
      <c r="A7" s="3" t="inlineStr">
        <is>
          <t>Avaliação</t>
        </is>
      </c>
      <c r="B7" s="3" t="inlineStr">
        <is>
          <t>Data</t>
        </is>
      </c>
      <c r="C7" s="3" t="inlineStr">
        <is>
          <t>Nota</t>
        </is>
      </c>
      <c r="D7" s="3" t="inlineStr">
        <is>
          <t>Observações</t>
        </is>
      </c>
    </row>
    <row r="8" ht="18" customHeight="1">
      <c r="A8" s="13" t="inlineStr">
        <is>
          <t>AI — Avaliação Intermediária (40%)</t>
        </is>
      </c>
      <c r="B8" s="8" t="inlineStr">
        <is>
          <t>25/03/2026</t>
        </is>
      </c>
      <c r="C8" s="14" t="n"/>
      <c r="D8" s="15" t="inlineStr"/>
    </row>
    <row r="9" ht="18" customHeight="1">
      <c r="A9" s="13" t="inlineStr">
        <is>
          <t>APS 1 — 1ª de 4 (média 3 maiores)</t>
        </is>
      </c>
      <c r="B9" s="8" t="inlineStr">
        <is>
          <t>04/03/2026</t>
        </is>
      </c>
      <c r="C9" s="14" t="n"/>
      <c r="D9" s="15" t="inlineStr"/>
    </row>
    <row r="10" ht="18" customHeight="1">
      <c r="A10" s="13" t="inlineStr">
        <is>
          <t>APS 2</t>
        </is>
      </c>
      <c r="B10" s="8" t="inlineStr">
        <is>
          <t>11/03/2026</t>
        </is>
      </c>
      <c r="C10" s="14" t="n"/>
      <c r="D10" s="15" t="inlineStr"/>
    </row>
    <row r="11" ht="18" customHeight="1">
      <c r="A11" s="13" t="inlineStr">
        <is>
          <t>APS 3</t>
        </is>
      </c>
      <c r="B11" s="8" t="inlineStr">
        <is>
          <t>27/04/2026</t>
        </is>
      </c>
      <c r="C11" s="14" t="n"/>
      <c r="D11" s="15" t="inlineStr"/>
    </row>
    <row r="12" ht="18" customHeight="1">
      <c r="A12" s="13" t="inlineStr">
        <is>
          <t>APS 4</t>
        </is>
      </c>
      <c r="B12" s="8" t="inlineStr">
        <is>
          <t>13/05/2026</t>
        </is>
      </c>
      <c r="C12" s="14" t="n"/>
      <c r="D12" s="15" t="inlineStr">
        <is>
          <t>Descarta a menor das 4</t>
        </is>
      </c>
    </row>
    <row r="13" ht="18" customHeight="1">
      <c r="A13" s="13" t="inlineStr">
        <is>
          <t>AF — Avaliação Final (50%)</t>
        </is>
      </c>
      <c r="B13" s="8" t="inlineStr">
        <is>
          <t>27/05/2026</t>
        </is>
      </c>
      <c r="C13" s="14" t="n"/>
      <c r="D13" s="15" t="inlineStr"/>
    </row>
    <row r="14" ht="6" customHeight="1"/>
    <row r="15" ht="22" customHeight="1">
      <c r="A15" s="16" t="inlineStr">
        <is>
          <t>▼  CALCULADO AUTOMATICAMENTE  (não editar)</t>
        </is>
      </c>
    </row>
    <row r="16" ht="20" customHeight="1">
      <c r="A16" s="4" t="inlineStr">
        <is>
          <t>APS média (3 maiores de 4)</t>
        </is>
      </c>
      <c r="C16" s="17">
        <f>IF(COUNT(C9:C12)=0,"—",IF(COUNT(C9:C12)&lt;4,AVERAGE(C9:C12),(LARGE(C9:C12,1)+LARGE(C9:C12,2)+LARGE(C9:C12,3))/3))</f>
        <v/>
      </c>
      <c r="D16" s="15" t="inlineStr">
        <is>
          <t>Descarta a menor APS das 4</t>
        </is>
      </c>
    </row>
    <row r="17" ht="20" customHeight="1">
      <c r="A17" s="4" t="inlineStr">
        <is>
          <t>MSP = (AI+AF)/2</t>
        </is>
      </c>
      <c r="C17" s="17">
        <f>IF(OR(NOT(ISNUMBER(C8)),NOT(ISNUMBER(C13))),"",( C8+C13)/2)</f>
        <v/>
      </c>
      <c r="D17" s="15" t="inlineStr">
        <is>
          <t>Mínimo 4,5 p/ usar MPP</t>
        </is>
      </c>
    </row>
    <row r="18" ht="20" customHeight="1">
      <c r="A18" s="4" t="inlineStr">
        <is>
          <t>MPP (Média Ponderada)</t>
        </is>
      </c>
      <c r="C18" s="17">
        <f>IF(OR(NOT(ISNUMBER(C8)),NOT(ISNUMBER(C13))),"",0.4*C8+0.5*C13+0.1*IF(ISNUMBER(C16),C16,0))</f>
        <v/>
      </c>
      <c r="D18" s="15" t="inlineStr">
        <is>
          <t>0,40·AI+0,50·AF+0,10·APS</t>
        </is>
      </c>
    </row>
    <row r="19" ht="20" customHeight="1">
      <c r="A19" s="4" t="inlineStr">
        <is>
          <t>MF (Média Final)</t>
        </is>
      </c>
      <c r="C19" s="17">
        <f>IF(C17="","",IF(C17&lt;4.5,C17,C18))</f>
        <v/>
      </c>
      <c r="D19" s="15" t="inlineStr">
        <is>
          <t>MSP&lt;4,5→MF=MSP; senão MF=MPP</t>
        </is>
      </c>
    </row>
    <row r="20" ht="20" customHeight="1">
      <c r="A20" s="4" t="inlineStr">
        <is>
          <t>Situação atual</t>
        </is>
      </c>
      <c r="C20" s="18">
        <f>IF(C19="","Aguardando notas...",IF(C19&gt;=5,"✓ APROVADO DIRETO!","Em andamento — veja simulação"))</f>
        <v/>
      </c>
      <c r="D20" s="15" t="inlineStr"/>
    </row>
    <row r="21" ht="6" customHeight="1"/>
    <row r="22" ht="22" customHeight="1">
      <c r="A22" s="19" t="inlineStr">
        <is>
          <t>▼  SIMULAÇÃO — O QUE PRECISO PARA PASSAR?</t>
        </is>
      </c>
    </row>
    <row r="23" ht="22" customHeight="1">
      <c r="A23" s="4" t="inlineStr">
        <is>
          <t>Nota necessária na AF (dados atuais)</t>
        </is>
      </c>
      <c r="B23" s="20" t="inlineStr">
        <is>
          <t>Brancos = 0 (pior caso)</t>
        </is>
      </c>
      <c r="C23" s="21">
        <f>IF(NOT(ISNUMBER(C8)),"Preencha a AI primeiro",IF(F23&lt;=0,"✓ Aprovado direto!",IF(F23&gt;10,"✗ Reprovado mesmo com 10 na AF","Precisa de "&amp;TEXT(ROUND(F23,2),"0.00")&amp;" na AF")))</f>
        <v/>
      </c>
      <c r="F23">
        <f>IF(NOT(ISNUMBER(C8)),-999,MAX(9-C8,(5-0.4*C8-0.1*IF(ISNUMBER(C16),C16,0))/0.5))</f>
        <v/>
      </c>
    </row>
  </sheetData>
  <mergeCells count="7">
    <mergeCell ref="A1:D1"/>
    <mergeCell ref="A6:D6"/>
    <mergeCell ref="A22:D22"/>
    <mergeCell ref="A4:D4"/>
    <mergeCell ref="A3:D3"/>
    <mergeCell ref="A15:D15"/>
    <mergeCell ref="A2:D2"/>
  </mergeCells>
  <conditionalFormatting sqref="C20">
    <cfRule type="expression" priority="1" dxfId="0">
      <formula>NOT(ISERROR(SEARCH("✓",C20)))</formula>
    </cfRule>
  </conditionalFormatting>
  <conditionalFormatting sqref="C23">
    <cfRule type="expression" priority="2" dxfId="0">
      <formula>NOT(ISERROR(SEARCH("✓",C23)))</formula>
    </cfRule>
    <cfRule type="expression" priority="3" dxfId="1">
      <formula>NOT(ISERROR(SEARCH("✗",C23)))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hidden="1" width="18" customWidth="1" min="6" max="6"/>
  </cols>
  <sheetData>
    <row r="1" ht="30" customHeight="1">
      <c r="A1" s="10" t="inlineStr">
        <is>
          <t>MICROECONOMIA II — Controle de Notas</t>
        </is>
      </c>
    </row>
    <row r="2">
      <c r="A2" s="2" t="inlineStr">
        <is>
          <t>Prof. Darcio Martins / Guilherme Carvalho  |  Turma 3D  |  Seg 14:15–16:15 / Qua 14:15–16:15</t>
        </is>
      </c>
    </row>
    <row r="3">
      <c r="A3" s="9" t="inlineStr">
        <is>
          <t>MF = 0,10·Q + 0,10·APS + 0,30·AI + 0,50·AF  |  Q = média simples de 6 quizzes</t>
        </is>
      </c>
    </row>
    <row r="4">
      <c r="A4" s="11" t="inlineStr">
        <is>
          <t>Aprovação: MF≥5,0  E  (AI+AF)/2≥4,0</t>
        </is>
      </c>
    </row>
    <row r="5" ht="6" customHeight="1"/>
    <row r="6" ht="22" customHeight="1">
      <c r="A6" s="12" t="inlineStr">
        <is>
          <t>▼  INSIRA SUAS NOTAS  (células amarelas)</t>
        </is>
      </c>
    </row>
    <row r="7" ht="18" customHeight="1">
      <c r="A7" s="3" t="inlineStr">
        <is>
          <t>Avaliação</t>
        </is>
      </c>
      <c r="B7" s="3" t="inlineStr">
        <is>
          <t>Data</t>
        </is>
      </c>
      <c r="C7" s="3" t="inlineStr">
        <is>
          <t>Nota</t>
        </is>
      </c>
      <c r="D7" s="3" t="inlineStr">
        <is>
          <t>Observações</t>
        </is>
      </c>
    </row>
    <row r="8" ht="18" customHeight="1">
      <c r="A8" s="13" t="inlineStr">
        <is>
          <t>AI — Avaliação Intermediária (30%)</t>
        </is>
      </c>
      <c r="B8" s="8" t="inlineStr">
        <is>
          <t>30/03/2026</t>
        </is>
      </c>
      <c r="C8" s="14" t="n"/>
      <c r="D8" s="15" t="inlineStr"/>
    </row>
    <row r="9" ht="18" customHeight="1">
      <c r="A9" s="13" t="inlineStr">
        <is>
          <t>Quiz 1</t>
        </is>
      </c>
      <c r="B9" s="8" t="inlineStr">
        <is>
          <t>04/03/2026</t>
        </is>
      </c>
      <c r="C9" s="14" t="n"/>
      <c r="D9" s="15" t="inlineStr"/>
    </row>
    <row r="10" ht="18" customHeight="1">
      <c r="A10" s="13" t="inlineStr">
        <is>
          <t>Quiz 2</t>
        </is>
      </c>
      <c r="B10" s="8" t="inlineStr">
        <is>
          <t>11/03/2026</t>
        </is>
      </c>
      <c r="C10" s="14" t="n"/>
      <c r="D10" s="15" t="inlineStr"/>
    </row>
    <row r="11" ht="18" customHeight="1">
      <c r="A11" s="13" t="inlineStr">
        <is>
          <t>Quiz 3</t>
        </is>
      </c>
      <c r="B11" s="8" t="inlineStr">
        <is>
          <t>23/03/2026</t>
        </is>
      </c>
      <c r="C11" s="14" t="n"/>
      <c r="D11" s="15" t="inlineStr"/>
    </row>
    <row r="12" ht="18" customHeight="1">
      <c r="A12" s="13" t="inlineStr">
        <is>
          <t>Quiz 4</t>
        </is>
      </c>
      <c r="B12" s="8" t="inlineStr">
        <is>
          <t>15/04/2026</t>
        </is>
      </c>
      <c r="C12" s="14" t="n"/>
      <c r="D12" s="15" t="inlineStr"/>
    </row>
    <row r="13" ht="18" customHeight="1">
      <c r="A13" s="13" t="inlineStr">
        <is>
          <t>Quiz 5</t>
        </is>
      </c>
      <c r="B13" s="8" t="inlineStr">
        <is>
          <t>06/05/2026</t>
        </is>
      </c>
      <c r="C13" s="14" t="n"/>
      <c r="D13" s="15" t="inlineStr"/>
    </row>
    <row r="14" ht="18" customHeight="1">
      <c r="A14" s="13" t="inlineStr">
        <is>
          <t>Quiz 6</t>
        </is>
      </c>
      <c r="B14" s="8" t="inlineStr">
        <is>
          <t>20/05/2026</t>
        </is>
      </c>
      <c r="C14" s="14" t="n"/>
      <c r="D14" s="15" t="inlineStr">
        <is>
          <t>Sem descarte — média dos 6</t>
        </is>
      </c>
    </row>
    <row r="15" ht="18" customHeight="1">
      <c r="A15" s="13" t="inlineStr">
        <is>
          <t>APS — Ativ. Prática (10%)</t>
        </is>
      </c>
      <c r="B15" s="8" t="inlineStr">
        <is>
          <t>ao longo</t>
        </is>
      </c>
      <c r="C15" s="14" t="n"/>
      <c r="D15" s="15" t="inlineStr"/>
    </row>
    <row r="16" ht="18" customHeight="1">
      <c r="A16" s="13" t="inlineStr">
        <is>
          <t>AF — Avaliação Final (50%)</t>
        </is>
      </c>
      <c r="B16" s="8" t="inlineStr">
        <is>
          <t>27/05/2026</t>
        </is>
      </c>
      <c r="C16" s="14" t="n"/>
      <c r="D16" s="15" t="inlineStr"/>
    </row>
    <row r="17" ht="6" customHeight="1"/>
    <row r="18" ht="22" customHeight="1">
      <c r="A18" s="16" t="inlineStr">
        <is>
          <t>▼  CALCULADO AUTOMATICAMENTE  (não editar)</t>
        </is>
      </c>
    </row>
    <row r="19" ht="20" customHeight="1">
      <c r="A19" s="4" t="inlineStr">
        <is>
          <t>MQ (Média dos 6 Quizzes)</t>
        </is>
      </c>
      <c r="C19" s="17">
        <f>IFERROR(AVERAGE(C9:C14),"—")</f>
        <v/>
      </c>
      <c r="D19" s="15" t="inlineStr">
        <is>
          <t>Média simples, sem descarte</t>
        </is>
      </c>
    </row>
    <row r="20" ht="20" customHeight="1">
      <c r="A20" s="4" t="inlineStr">
        <is>
          <t>MSP = (AI+AF)/2</t>
        </is>
      </c>
      <c r="C20" s="17">
        <f>IF(OR(NOT(ISNUMBER(C8)),NOT(ISNUMBER(C16))),"",( C8+C16)/2)</f>
        <v/>
      </c>
      <c r="D20" s="15" t="inlineStr">
        <is>
          <t>Mínimo 4,0 p/ aprovação</t>
        </is>
      </c>
    </row>
    <row r="21" ht="20" customHeight="1">
      <c r="A21" s="4" t="inlineStr">
        <is>
          <t>MF (Média Final)</t>
        </is>
      </c>
      <c r="C21" s="17">
        <f>IF(OR(NOT(ISNUMBER(C8)),NOT(ISNUMBER(C16))),"",0.1*IF(ISNUMBER(C19),C19,0)+0.1*IF(ISNUMBER(C15),C15,0)+0.3*C8+0.5*C16)</f>
        <v/>
      </c>
      <c r="D21" s="15" t="inlineStr">
        <is>
          <t>0,10·Q+0,10·APS+0,30·AI+0,50·AF</t>
        </is>
      </c>
    </row>
    <row r="22" ht="20" customHeight="1">
      <c r="A22" s="4" t="inlineStr">
        <is>
          <t>Situação atual</t>
        </is>
      </c>
      <c r="C22" s="18">
        <f>IF(C21="","Aguardando notas...",IF(AND(C21&gt;=5,IF(C20="",0,C20)&gt;=4),"✓ APROVADO DIRETO!","Em andamento — veja simulação"))</f>
        <v/>
      </c>
      <c r="D22" s="15" t="inlineStr"/>
    </row>
    <row r="23" ht="6" customHeight="1"/>
    <row r="24" ht="22" customHeight="1">
      <c r="A24" s="19" t="inlineStr">
        <is>
          <t>▼  SIMULAÇÃO — O QUE PRECISO PARA PASSAR?</t>
        </is>
      </c>
    </row>
    <row r="25" ht="22" customHeight="1">
      <c r="A25" s="4" t="inlineStr">
        <is>
          <t>Nota necessária na AF (dados atuais)</t>
        </is>
      </c>
      <c r="B25" s="20" t="inlineStr">
        <is>
          <t>Brancos = 0 (pior caso)</t>
        </is>
      </c>
      <c r="C25" s="21">
        <f>IF(NOT(ISNUMBER(C8)),"Preencha a AI primeiro",IF(F25&lt;=0,"✓ Aprovado direto!",IF(F25&gt;10,"✗ Reprovado mesmo com 10 na AF","Precisa de "&amp;TEXT(ROUND(F25,2),"0.00")&amp;" na AF")))</f>
        <v/>
      </c>
      <c r="F25">
        <f>IF(NOT(ISNUMBER(C8)),-999,MAX(8-C8,(5-0.1*IF(ISNUMBER(C19),C19,0)-0.1*IF(ISNUMBER(C15),C15,0)-0.3*C8)/0.5))</f>
        <v/>
      </c>
    </row>
  </sheetData>
  <mergeCells count="7">
    <mergeCell ref="A1:D1"/>
    <mergeCell ref="A18:D18"/>
    <mergeCell ref="A6:D6"/>
    <mergeCell ref="A4:D4"/>
    <mergeCell ref="A3:D3"/>
    <mergeCell ref="A24:D24"/>
    <mergeCell ref="A2:D2"/>
  </mergeCells>
  <conditionalFormatting sqref="C22">
    <cfRule type="expression" priority="1" dxfId="0">
      <formula>NOT(ISERROR(SEARCH("✓",C22)))</formula>
    </cfRule>
  </conditionalFormatting>
  <conditionalFormatting sqref="C25">
    <cfRule type="expression" priority="2" dxfId="0">
      <formula>NOT(ISERROR(SEARCH("✓",C25)))</formula>
    </cfRule>
    <cfRule type="expression" priority="3" dxfId="1">
      <formula>NOT(ISERROR(SEARCH("✗",C25)))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hidden="1" width="18" customWidth="1" min="6" max="6"/>
  </cols>
  <sheetData>
    <row r="1" ht="30" customHeight="1">
      <c r="A1" s="10" t="inlineStr">
        <is>
          <t>MICROECONOMIA III — Controle de Notas</t>
        </is>
      </c>
    </row>
    <row r="2">
      <c r="A2" s="2" t="inlineStr">
        <is>
          <t>Prof. Isabela Furtado / Fabio Rosa  |  Turma 4ECOB  |  Seg 09:45–11:45 / Qui 12:00–14:00</t>
        </is>
      </c>
    </row>
    <row r="3">
      <c r="A3" s="9" t="inlineStr">
        <is>
          <t>MF=0,35·PI+0,40·PF+0,10·QZ+0,10·APS+0,05·PA  |  QZ=3 melhores de 4 quizzes</t>
        </is>
      </c>
    </row>
    <row r="4">
      <c r="A4" s="11" t="inlineStr">
        <is>
          <t>Aprovação: MF≥5,0  |  PA: descarta 5 piores notas</t>
        </is>
      </c>
    </row>
    <row r="5" ht="6" customHeight="1"/>
    <row r="6" ht="22" customHeight="1">
      <c r="A6" s="12" t="inlineStr">
        <is>
          <t>▼  INSIRA SUAS NOTAS  (células amarelas)</t>
        </is>
      </c>
    </row>
    <row r="7" ht="18" customHeight="1">
      <c r="A7" s="3" t="inlineStr">
        <is>
          <t>Avaliação</t>
        </is>
      </c>
      <c r="B7" s="3" t="inlineStr">
        <is>
          <t>Data</t>
        </is>
      </c>
      <c r="C7" s="3" t="inlineStr">
        <is>
          <t>Nota</t>
        </is>
      </c>
      <c r="D7" s="3" t="inlineStr">
        <is>
          <t>Observações</t>
        </is>
      </c>
    </row>
    <row r="8" ht="18" customHeight="1">
      <c r="A8" s="13" t="inlineStr">
        <is>
          <t>PI — Prova Intermediária (35%)</t>
        </is>
      </c>
      <c r="B8" s="8" t="inlineStr">
        <is>
          <t>30/03/2026</t>
        </is>
      </c>
      <c r="C8" s="14" t="n"/>
      <c r="D8" s="15" t="inlineStr"/>
    </row>
    <row r="9" ht="18" customHeight="1">
      <c r="A9" s="13" t="inlineStr">
        <is>
          <t>Quiz 1 (para QZ)</t>
        </is>
      </c>
      <c r="B9" s="8" t="inlineStr">
        <is>
          <t>02/03/2026</t>
        </is>
      </c>
      <c r="C9" s="14" t="n"/>
      <c r="D9" s="15" t="inlineStr"/>
    </row>
    <row r="10" ht="18" customHeight="1">
      <c r="A10" s="13" t="inlineStr">
        <is>
          <t>Quiz 2 (para QZ)</t>
        </is>
      </c>
      <c r="B10" s="8" t="inlineStr">
        <is>
          <t>23/03/2026</t>
        </is>
      </c>
      <c r="C10" s="14" t="n"/>
      <c r="D10" s="15" t="inlineStr"/>
    </row>
    <row r="11" ht="18" customHeight="1">
      <c r="A11" s="13" t="inlineStr">
        <is>
          <t>Quiz 3 (para QZ)</t>
        </is>
      </c>
      <c r="B11" s="8" t="inlineStr">
        <is>
          <t>30/04/2026</t>
        </is>
      </c>
      <c r="C11" s="14" t="n"/>
      <c r="D11" s="15" t="inlineStr"/>
    </row>
    <row r="12" ht="18" customHeight="1">
      <c r="A12" s="13" t="inlineStr">
        <is>
          <t>Quiz 4 (para QZ)</t>
        </is>
      </c>
      <c r="B12" s="8" t="inlineStr">
        <is>
          <t>14/05/2026</t>
        </is>
      </c>
      <c r="C12" s="14" t="n"/>
      <c r="D12" s="15" t="inlineStr">
        <is>
          <t>Descarta 1 pior → média dos 3 melhores</t>
        </is>
      </c>
    </row>
    <row r="13" ht="18" customHeight="1">
      <c r="A13" s="13" t="inlineStr">
        <is>
          <t>APS 1 — Caso (10%)</t>
        </is>
      </c>
      <c r="B13" s="8" t="inlineStr">
        <is>
          <t>16/04/2026</t>
        </is>
      </c>
      <c r="C13" s="14" t="n"/>
      <c r="D13" s="15" t="inlineStr">
        <is>
          <t>50% particip sala + 50% entrega</t>
        </is>
      </c>
    </row>
    <row r="14" ht="18" customHeight="1">
      <c r="A14" s="13" t="inlineStr">
        <is>
          <t>APS 2 — Caso</t>
        </is>
      </c>
      <c r="B14" s="8" t="inlineStr">
        <is>
          <t>21/05/2026</t>
        </is>
      </c>
      <c r="C14" s="14" t="n"/>
      <c r="D14" s="15" t="inlineStr">
        <is>
          <t>Média de APS1 e APS2 = APS</t>
        </is>
      </c>
    </row>
    <row r="15" ht="18" customHeight="1">
      <c r="A15" s="13" t="inlineStr">
        <is>
          <t>PF — Prova Final (40%)</t>
        </is>
      </c>
      <c r="B15" s="8" t="inlineStr">
        <is>
          <t>27/05/2026</t>
        </is>
      </c>
      <c r="C15" s="14" t="n"/>
      <c r="D15" s="15" t="inlineStr"/>
    </row>
    <row r="16" ht="6" customHeight="1"/>
    <row r="17" ht="20" customHeight="1">
      <c r="A17" s="22" t="inlineStr">
        <is>
          <t>▼  PARTICIPAÇÃO (PA) — insira 0, 5 ou 10 em cada aula  (células amarelas)</t>
        </is>
      </c>
    </row>
    <row r="18" ht="16" customHeight="1">
      <c r="A18" s="23" t="inlineStr">
        <is>
          <t>Aula</t>
        </is>
      </c>
      <c r="B18" s="23" t="inlineStr">
        <is>
          <t>Data</t>
        </is>
      </c>
      <c r="C18" s="23" t="inlineStr">
        <is>
          <t>Nota (0/5/10)</t>
        </is>
      </c>
      <c r="D18" s="23" t="inlineStr">
        <is>
          <t>Obs</t>
        </is>
      </c>
    </row>
    <row r="19" ht="14" customHeight="1">
      <c r="A19" s="8" t="inlineStr">
        <is>
          <t>Aula 1</t>
        </is>
      </c>
      <c r="B19" s="24" t="inlineStr"/>
      <c r="C19" s="14" t="n"/>
      <c r="D19" s="25" t="inlineStr"/>
    </row>
    <row r="20" ht="14" customHeight="1">
      <c r="A20" s="8" t="inlineStr">
        <is>
          <t>Aula 2</t>
        </is>
      </c>
      <c r="B20" s="24" t="inlineStr"/>
      <c r="C20" s="14" t="n"/>
      <c r="D20" s="25" t="inlineStr"/>
    </row>
    <row r="21" ht="14" customHeight="1">
      <c r="A21" s="8" t="inlineStr">
        <is>
          <t>Aula 3</t>
        </is>
      </c>
      <c r="B21" s="24" t="inlineStr"/>
      <c r="C21" s="14" t="n"/>
      <c r="D21" s="25" t="inlineStr"/>
    </row>
    <row r="22" ht="14" customHeight="1">
      <c r="A22" s="8" t="inlineStr">
        <is>
          <t>Aula 4</t>
        </is>
      </c>
      <c r="B22" s="24" t="inlineStr"/>
      <c r="C22" s="14" t="n"/>
      <c r="D22" s="25" t="inlineStr"/>
    </row>
    <row r="23" ht="14" customHeight="1">
      <c r="A23" s="8" t="inlineStr">
        <is>
          <t>Aula 5</t>
        </is>
      </c>
      <c r="B23" s="24" t="inlineStr"/>
      <c r="C23" s="14" t="n"/>
      <c r="D23" s="25" t="inlineStr"/>
    </row>
    <row r="24" ht="14" customHeight="1">
      <c r="A24" s="8" t="inlineStr">
        <is>
          <t>Aula 6</t>
        </is>
      </c>
      <c r="B24" s="24" t="inlineStr"/>
      <c r="C24" s="14" t="n"/>
      <c r="D24" s="25" t="inlineStr"/>
    </row>
    <row r="25" ht="14" customHeight="1">
      <c r="A25" s="8" t="inlineStr">
        <is>
          <t>Aula 7</t>
        </is>
      </c>
      <c r="B25" s="24" t="inlineStr"/>
      <c r="C25" s="14" t="n"/>
      <c r="D25" s="25" t="inlineStr"/>
    </row>
    <row r="26" ht="14" customHeight="1">
      <c r="A26" s="8" t="inlineStr">
        <is>
          <t>Aula 8</t>
        </is>
      </c>
      <c r="B26" s="24" t="inlineStr"/>
      <c r="C26" s="14" t="n"/>
      <c r="D26" s="25" t="inlineStr"/>
    </row>
    <row r="27" ht="14" customHeight="1">
      <c r="A27" s="8" t="inlineStr">
        <is>
          <t>Aula 9</t>
        </is>
      </c>
      <c r="B27" s="24" t="inlineStr"/>
      <c r="C27" s="14" t="n"/>
      <c r="D27" s="25" t="inlineStr"/>
    </row>
    <row r="28" ht="14" customHeight="1">
      <c r="A28" s="8" t="inlineStr">
        <is>
          <t>Aula 10</t>
        </is>
      </c>
      <c r="B28" s="24" t="inlineStr"/>
      <c r="C28" s="14" t="n"/>
      <c r="D28" s="25" t="inlineStr"/>
    </row>
    <row r="29" ht="14" customHeight="1">
      <c r="A29" s="8" t="inlineStr">
        <is>
          <t>Aula 11</t>
        </is>
      </c>
      <c r="B29" s="24" t="inlineStr"/>
      <c r="C29" s="14" t="n"/>
      <c r="D29" s="25" t="inlineStr"/>
    </row>
    <row r="30" ht="14" customHeight="1">
      <c r="A30" s="8" t="inlineStr">
        <is>
          <t>Aula 12</t>
        </is>
      </c>
      <c r="B30" s="24" t="inlineStr"/>
      <c r="C30" s="14" t="n"/>
      <c r="D30" s="25" t="inlineStr"/>
    </row>
    <row r="31" ht="14" customHeight="1">
      <c r="A31" s="8" t="inlineStr">
        <is>
          <t>Aula 13</t>
        </is>
      </c>
      <c r="B31" s="24" t="inlineStr"/>
      <c r="C31" s="14" t="n"/>
      <c r="D31" s="25" t="inlineStr"/>
    </row>
    <row r="32" ht="14" customHeight="1">
      <c r="A32" s="8" t="inlineStr">
        <is>
          <t>Aula 14</t>
        </is>
      </c>
      <c r="B32" s="24" t="inlineStr"/>
      <c r="C32" s="14" t="n"/>
      <c r="D32" s="25" t="inlineStr"/>
    </row>
    <row r="33" ht="14" customHeight="1">
      <c r="A33" s="8" t="inlineStr">
        <is>
          <t>Aula 15</t>
        </is>
      </c>
      <c r="B33" s="24" t="inlineStr"/>
      <c r="C33" s="14" t="n"/>
      <c r="D33" s="25" t="inlineStr"/>
    </row>
    <row r="34" ht="14" customHeight="1">
      <c r="A34" s="8" t="inlineStr">
        <is>
          <t>Aula 16</t>
        </is>
      </c>
      <c r="B34" s="24" t="inlineStr"/>
      <c r="C34" s="14" t="n"/>
      <c r="D34" s="25" t="inlineStr"/>
    </row>
    <row r="35" ht="14" customHeight="1">
      <c r="A35" s="8" t="inlineStr">
        <is>
          <t>Aula 17</t>
        </is>
      </c>
      <c r="B35" s="24" t="inlineStr"/>
      <c r="C35" s="14" t="n"/>
      <c r="D35" s="25" t="inlineStr"/>
    </row>
    <row r="36" ht="14" customHeight="1">
      <c r="A36" s="8" t="inlineStr">
        <is>
          <t>Aula 18</t>
        </is>
      </c>
      <c r="B36" s="24" t="inlineStr"/>
      <c r="C36" s="14" t="n"/>
      <c r="D36" s="25" t="inlineStr"/>
    </row>
    <row r="37" ht="14" customHeight="1">
      <c r="A37" s="8" t="inlineStr">
        <is>
          <t>Aula 19</t>
        </is>
      </c>
      <c r="B37" s="24" t="inlineStr"/>
      <c r="C37" s="14" t="n"/>
      <c r="D37" s="25" t="inlineStr"/>
    </row>
    <row r="38" ht="14" customHeight="1">
      <c r="A38" s="8" t="inlineStr">
        <is>
          <t>Aula 20</t>
        </is>
      </c>
      <c r="B38" s="24" t="inlineStr"/>
      <c r="C38" s="14" t="n"/>
      <c r="D38" s="25" t="inlineStr"/>
    </row>
    <row r="39" ht="14" customHeight="1">
      <c r="A39" s="8" t="inlineStr">
        <is>
          <t>Aula 21</t>
        </is>
      </c>
      <c r="B39" s="24" t="inlineStr"/>
      <c r="C39" s="14" t="n"/>
      <c r="D39" s="25" t="inlineStr"/>
    </row>
    <row r="40" ht="14" customHeight="1">
      <c r="A40" s="8" t="inlineStr">
        <is>
          <t>Aula 22</t>
        </is>
      </c>
      <c r="B40" s="24" t="inlineStr"/>
      <c r="C40" s="14" t="n"/>
      <c r="D40" s="25" t="inlineStr"/>
    </row>
    <row r="41" ht="14" customHeight="1">
      <c r="A41" s="8" t="inlineStr">
        <is>
          <t>Aula 23</t>
        </is>
      </c>
      <c r="B41" s="24" t="inlineStr"/>
      <c r="C41" s="14" t="n"/>
      <c r="D41" s="25" t="inlineStr"/>
    </row>
    <row r="42" ht="14" customHeight="1">
      <c r="A42" s="8" t="inlineStr">
        <is>
          <t>Aula 24</t>
        </is>
      </c>
      <c r="B42" s="24" t="inlineStr"/>
      <c r="C42" s="14" t="n"/>
      <c r="D42" s="25" t="inlineStr"/>
    </row>
    <row r="43" ht="14" customHeight="1">
      <c r="A43" s="8" t="inlineStr">
        <is>
          <t>Aula 25</t>
        </is>
      </c>
      <c r="B43" s="24" t="inlineStr"/>
      <c r="C43" s="14" t="n"/>
      <c r="D43" s="25" t="inlineStr"/>
    </row>
    <row r="44" ht="14" customHeight="1">
      <c r="A44" s="8" t="inlineStr">
        <is>
          <t>Aula 26</t>
        </is>
      </c>
      <c r="B44" s="24" t="inlineStr"/>
      <c r="C44" s="14" t="n"/>
      <c r="D44" s="25" t="inlineStr"/>
    </row>
    <row r="45" ht="14" customHeight="1">
      <c r="A45" s="8" t="inlineStr">
        <is>
          <t>Aula 27</t>
        </is>
      </c>
      <c r="B45" s="24" t="inlineStr"/>
      <c r="C45" s="14" t="n"/>
      <c r="D45" s="25" t="inlineStr"/>
    </row>
    <row r="46" ht="14" customHeight="1">
      <c r="A46" s="8" t="inlineStr">
        <is>
          <t>Aula 28</t>
        </is>
      </c>
      <c r="B46" s="24" t="inlineStr"/>
      <c r="C46" s="14" t="n"/>
      <c r="D46" s="25" t="inlineStr"/>
    </row>
    <row r="47" ht="14" customHeight="1">
      <c r="A47" s="8" t="inlineStr">
        <is>
          <t>Aula 29</t>
        </is>
      </c>
      <c r="B47" s="24" t="inlineStr"/>
      <c r="C47" s="14" t="n"/>
      <c r="D47" s="25" t="inlineStr"/>
    </row>
    <row r="48" ht="14" customHeight="1">
      <c r="A48" s="8" t="inlineStr">
        <is>
          <t>Aula 30</t>
        </is>
      </c>
      <c r="B48" s="24" t="inlineStr"/>
      <c r="C48" s="14" t="n"/>
      <c r="D48" s="25" t="inlineStr"/>
    </row>
    <row r="49" ht="6" customHeight="1"/>
    <row r="50" ht="22" customHeight="1">
      <c r="A50" s="16" t="inlineStr">
        <is>
          <t>▼  CALCULADO AUTOMATICAMENTE  (não editar)</t>
        </is>
      </c>
    </row>
    <row r="51" ht="20" customHeight="1">
      <c r="A51" s="4" t="inlineStr">
        <is>
          <t>QZ (3 melhores quizzes de 4)</t>
        </is>
      </c>
      <c r="C51" s="17">
        <f>IF(COUNT(C9:C12)=0,"—",IF(COUNT(C9:C12)&lt;=3,AVERAGE(C9:C12),(LARGE(C9:C12,1)+LARGE(C9:C12,2)+LARGE(C9:C12,3))/3))</f>
        <v/>
      </c>
      <c r="D51" s="15" t="inlineStr">
        <is>
          <t>Descarta o pior dos 4 quizzes</t>
        </is>
      </c>
    </row>
    <row r="52" ht="20" customHeight="1">
      <c r="A52" s="4" t="inlineStr">
        <is>
          <t>APS (média APS1 e APS2)</t>
        </is>
      </c>
      <c r="C52" s="17">
        <f>IF(AND(ISNUMBER(C13),ISNUMBER(C14)),AVERAGE(C13:C14),IF(ISNUMBER(C13),C13,IF(ISNUMBER(C14),C14,"—")))</f>
        <v/>
      </c>
      <c r="D52" s="15" t="inlineStr">
        <is>
          <t>Média de 2 casos</t>
        </is>
      </c>
    </row>
    <row r="53" ht="20" customHeight="1">
      <c r="A53" s="4" t="inlineStr">
        <is>
          <t>PA média (descarta 5 piores)</t>
        </is>
      </c>
      <c r="C53" s="17">
        <f>IF(COUNT(C19:C48)=0,"—",IF(COUNT(C19:C48)&lt;=5,AVERAGE(C19:C48),(SUM(C19:C48)-SUMPRODUCT(SMALL(C19:C48,ROW(INDIRECT("1:5")))))/MAX(COUNT(C19:C48)-5,1)))</f>
        <v/>
      </c>
      <c r="D53" s="15" t="inlineStr">
        <is>
          <t>Descarta 5 piores participações</t>
        </is>
      </c>
    </row>
    <row r="54" ht="20" customHeight="1">
      <c r="A54" s="4" t="inlineStr">
        <is>
          <t>MF (Média Final)</t>
        </is>
      </c>
      <c r="C54" s="17">
        <f>IF(OR(NOT(ISNUMBER(C8)),NOT(ISNUMBER(C15))),"",0.35*C8+0.40*C15+0.10*IF(ISNUMBER(C51),C51,0)+0.10*IF(ISNUMBER(C52),C52,0)+0.05*IF(ISNUMBER(C53),C53,0))</f>
        <v/>
      </c>
      <c r="D54" s="15" t="inlineStr">
        <is>
          <t>0,35·PI+0,40·PF+0,10·QZ+0,10·APS+0,05·PA</t>
        </is>
      </c>
    </row>
    <row r="55" ht="20" customHeight="1">
      <c r="A55" s="4" t="inlineStr">
        <is>
          <t>Situação atual</t>
        </is>
      </c>
      <c r="C55" s="18">
        <f>IF(C54="","Aguardando notas...",IF(C54&gt;=5,"✓ APROVADO DIRETO!","Em andamento — veja simulação"))</f>
        <v/>
      </c>
      <c r="D55" s="15" t="inlineStr"/>
    </row>
    <row r="56" ht="6" customHeight="1"/>
    <row r="57" ht="22" customHeight="1">
      <c r="A57" s="19" t="inlineStr">
        <is>
          <t>▼  SIMULAÇÃO — O QUE PRECISO PARA PASSAR?</t>
        </is>
      </c>
    </row>
    <row r="58" ht="22" customHeight="1">
      <c r="A58" s="4" t="inlineStr">
        <is>
          <t>Nota necessária na PF (dados atuais)</t>
        </is>
      </c>
      <c r="B58" s="20" t="inlineStr">
        <is>
          <t>Brancos = 0 (pior caso)</t>
        </is>
      </c>
      <c r="C58" s="21">
        <f>IF(NOT(ISNUMBER(C8)),"Preencha a PI primeiro",IF(F58&lt;=0,"✓ Aprovado direto!",IF(F58&gt;10,"✗ Reprovado mesmo com 10 na PF","Precisa de "&amp;TEXT(ROUND(F58,2),"0.00")&amp;" na PF")))</f>
        <v/>
      </c>
      <c r="F58">
        <f>IF(NOT(ISNUMBER(C8)),-999,(5-0.35*C8-0.10*IF(ISNUMBER(C51),C51,0)-0.10*IF(ISNUMBER(C52),C52,0)-0.05*IF(ISNUMBER(C53),C53,0))/0.40)</f>
        <v/>
      </c>
    </row>
  </sheetData>
  <mergeCells count="8">
    <mergeCell ref="A1:D1"/>
    <mergeCell ref="A17:D17"/>
    <mergeCell ref="A6:D6"/>
    <mergeCell ref="A50:D50"/>
    <mergeCell ref="A4:D4"/>
    <mergeCell ref="A3:D3"/>
    <mergeCell ref="A57:D57"/>
    <mergeCell ref="A2:D2"/>
  </mergeCells>
  <conditionalFormatting sqref="C55">
    <cfRule type="expression" priority="1" dxfId="0">
      <formula>NOT(ISERROR(SEARCH("✓",C55)))</formula>
    </cfRule>
  </conditionalFormatting>
  <conditionalFormatting sqref="C58">
    <cfRule type="expression" priority="2" dxfId="0">
      <formula>NOT(ISERROR(SEARCH("✓",C58)))</formula>
    </cfRule>
    <cfRule type="expression" priority="3" dxfId="1">
      <formula>NOT(ISERROR(SEARCH("✗",C58)))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2026-05-14T21:34:30Z</dcterms:created>
  <dcterms:modified xmlns:dcterms="http://purl.org/dc/terms/" xmlns:xsi="http://www.w3.org/2001/XMLSchema-instance" xsi:type="dcterms:W3CDTF">2026-05-14T21:34:30Z</dcterms:modified>
</cp:coreProperties>
</file>