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gras" sheetId="2" state="visible" r:id="rId2"/>
    <sheet xmlns:r="http://schemas.openxmlformats.org/officeDocument/2006/relationships" name="Cronogr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000000"/>
      <sz val="9"/>
    </font>
    <font>
      <name val="Calibri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EDEDED"/>
        <bgColor rgb="00EDEDED"/>
      </patternFill>
    </fill>
    <fill>
      <patternFill patternType="solid">
        <fgColor rgb="00FFD700"/>
        <bgColor rgb="00FFD700"/>
      </patternFill>
    </fill>
    <fill>
      <patternFill patternType="solid">
        <fgColor rgb="00BDD7EE"/>
        <bgColor rgb="00BDD7EE"/>
      </patternFill>
    </fill>
    <fill>
      <patternFill patternType="solid">
        <fgColor rgb="00FFFF99"/>
        <bgColor rgb="00FFFF99"/>
      </patternFill>
    </fill>
    <fill>
      <patternFill patternType="solid">
        <fgColor rgb="00595959"/>
        <bgColor rgb="00595959"/>
      </patternFill>
    </fill>
    <fill>
      <patternFill patternType="solid">
        <fgColor rgb="00D9D9D9"/>
        <bgColor rgb="00D9D9D9"/>
      </patternFill>
    </fill>
    <fill>
      <patternFill patternType="solid">
        <fgColor rgb="00833C00"/>
        <bgColor rgb="00833C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3" borderId="0" pivotButton="0" quotePrefix="0" xfId="0"/>
    <xf numFmtId="0" fontId="0" fillId="3" borderId="0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30" customWidth="1" min="4" max="4"/>
    <col width="1" customWidth="1" min="5" max="5"/>
    <col hidden="1" width="18" customWidth="1" min="6" max="6"/>
  </cols>
  <sheetData>
    <row r="1" ht="30" customHeight="1">
      <c r="A1" s="1" t="inlineStr">
        <is>
          <t>ECONOMETRIA — Controle de Notas</t>
        </is>
      </c>
    </row>
    <row r="2">
      <c r="A2" s="2" t="inlineStr">
        <is>
          <t>Prof. Adriana Bruscato Bortoluzzo  |  Turma 4ECO-B  |  Qua 16:30–18:30 / Sex 14:15–16:15</t>
        </is>
      </c>
    </row>
    <row r="3">
      <c r="A3" s="3" t="inlineStr">
        <is>
          <t>Fórmula: MP = 0,4·AI + 0,6·AF  |  MF = MP (se MP&lt;4)  ou  MF = 0,75·MP + 0,15·MQ + 0,10·APS (se MP≥4)</t>
        </is>
      </c>
    </row>
    <row r="4">
      <c r="A4" s="4" t="inlineStr">
        <is>
          <t>Aprovação: MF ≥ 5,0  |  Atenção: nota APS = 0 implica REPROVAÇÃO AUTOMÁTICA</t>
        </is>
      </c>
    </row>
    <row r="5" ht="6" customHeight="1"/>
    <row r="6" ht="22" customHeight="1">
      <c r="A6" s="5" t="inlineStr">
        <is>
          <t>▼  INSIRA SUAS NOTAS  (células amarelas)</t>
        </is>
      </c>
    </row>
    <row r="7" ht="18" customHeight="1">
      <c r="A7" s="6" t="inlineStr">
        <is>
          <t>Avaliação</t>
        </is>
      </c>
      <c r="B7" s="6" t="inlineStr">
        <is>
          <t>Data</t>
        </is>
      </c>
      <c r="C7" s="6" t="inlineStr">
        <is>
          <t>Nota (0–10)</t>
        </is>
      </c>
      <c r="D7" s="6" t="inlineStr">
        <is>
          <t>Observações</t>
        </is>
      </c>
    </row>
    <row r="8" ht="18" customHeight="1">
      <c r="A8" s="7" t="inlineStr">
        <is>
          <t>Avaliação Intermediária (AI) — 30%</t>
        </is>
      </c>
      <c r="B8" s="8" t="inlineStr">
        <is>
          <t>25/03/2026</t>
        </is>
      </c>
      <c r="C8" s="9" t="n"/>
      <c r="D8" s="10" t="inlineStr">
        <is>
          <t>Prova presencial — cobre todo o conteúdo até aula 11</t>
        </is>
      </c>
    </row>
    <row r="9" ht="18" customHeight="1">
      <c r="A9" s="7" t="inlineStr">
        <is>
          <t>Quiz 1 — compõe MQ (15%)</t>
        </is>
      </c>
      <c r="B9" s="8" t="inlineStr">
        <is>
          <t>04/03/2026</t>
        </is>
      </c>
      <c r="C9" s="9" t="n"/>
      <c r="D9" s="10" t="inlineStr"/>
    </row>
    <row r="10" ht="18" customHeight="1">
      <c r="A10" s="7" t="inlineStr">
        <is>
          <t>Quiz 2 — compõe MQ (15%)</t>
        </is>
      </c>
      <c r="B10" s="8" t="inlineStr">
        <is>
          <t>20/03/2026</t>
        </is>
      </c>
      <c r="C10" s="9" t="n"/>
      <c r="D10" s="10" t="inlineStr"/>
    </row>
    <row r="11" ht="18" customHeight="1">
      <c r="A11" s="7" t="inlineStr">
        <is>
          <t>Quiz 3 — compõe MQ (15%)</t>
        </is>
      </c>
      <c r="B11" s="8" t="inlineStr">
        <is>
          <t>08/05/2026</t>
        </is>
      </c>
      <c r="C11" s="9" t="n"/>
      <c r="D11" s="10" t="inlineStr"/>
    </row>
    <row r="12" ht="18" customHeight="1">
      <c r="A12" s="7" t="inlineStr">
        <is>
          <t>APS (Atividade em Aula) — 10%</t>
        </is>
      </c>
      <c r="B12" s="8" t="inlineStr"/>
      <c r="C12" s="9" t="n"/>
      <c r="D12" s="10" t="inlineStr">
        <is>
          <t>⚠ Nota 0 = REPROVAÇÃO AUTOMÁTICA</t>
        </is>
      </c>
    </row>
    <row r="13" ht="18" customHeight="1">
      <c r="A13" s="7" t="inlineStr">
        <is>
          <t>Avaliação Final (AF) — 45%</t>
        </is>
      </c>
      <c r="B13" s="8" t="inlineStr">
        <is>
          <t>27/05/2026</t>
        </is>
      </c>
      <c r="C13" s="9" t="n"/>
      <c r="D13" s="10" t="inlineStr">
        <is>
          <t>Preencha após realizar a prova</t>
        </is>
      </c>
    </row>
    <row r="14" ht="6" customHeight="1"/>
    <row r="15" ht="22" customHeight="1">
      <c r="A15" s="11" t="inlineStr">
        <is>
          <t>▼  CALCULADO AUTOMATICAMENTE  (não editar)</t>
        </is>
      </c>
    </row>
    <row r="16" ht="20" customHeight="1">
      <c r="A16" s="12" t="inlineStr">
        <is>
          <t>Média de Quizzes (MQ)</t>
        </is>
      </c>
      <c r="C16" s="13">
        <f>IFERROR(AVERAGE(C9:C11),"—")</f>
        <v/>
      </c>
      <c r="D16" s="10" t="inlineStr">
        <is>
          <t>Média aritmética dos 3 quizzes</t>
        </is>
      </c>
    </row>
    <row r="17" ht="20" customHeight="1">
      <c r="A17" s="12" t="inlineStr">
        <is>
          <t>Média de Provas (MP)</t>
        </is>
      </c>
      <c r="C17" s="14">
        <f>IF(OR(NOT(ISNUMBER(C8)),NOT(ISNUMBER(C13))),"",0.4*C8+0.6*C13)</f>
        <v/>
      </c>
      <c r="D17" s="10" t="inlineStr">
        <is>
          <t>0,4·AI + 0,6·AF</t>
        </is>
      </c>
    </row>
    <row r="18" ht="20" customHeight="1">
      <c r="A18" s="12" t="inlineStr">
        <is>
          <t>Média Final (MF)</t>
        </is>
      </c>
      <c r="C18" s="14">
        <f>IF(C17="","",IF(C17&lt;4,C17,0.75*C17+0.15*IF(ISNUMBER(C16),C16,0)+0.1*IF(ISNUMBER(C12),C12,0)))</f>
        <v/>
      </c>
      <c r="D18" s="10" t="inlineStr">
        <is>
          <t>Fórmula condicional</t>
        </is>
      </c>
    </row>
    <row r="19" ht="20" customHeight="1">
      <c r="A19" s="12" t="inlineStr">
        <is>
          <t>Situação atual</t>
        </is>
      </c>
      <c r="C19" s="13">
        <f>IF(C18="","Aguardando notas...",IF(NOT(ISNUMBER(C12)),"—",IF(C12=0,"⚠ APS ZERO → REPROVADO",IF(C18&gt;=5,"✓ APROVADO DIRETO!","Em andamento — veja simulação abaixo"))))</f>
        <v/>
      </c>
      <c r="D19" s="10" t="inlineStr"/>
    </row>
    <row r="20" ht="6" customHeight="1"/>
    <row r="21" ht="22" customHeight="1">
      <c r="A21" s="15" t="inlineStr">
        <is>
          <t>▼  SIMULAÇÃO — O QUE PRECISO NA AF PARA PASSAR?</t>
        </is>
      </c>
    </row>
    <row r="22" ht="22" customHeight="1">
      <c r="A22" s="12" t="inlineStr">
        <is>
          <t>Nota necessária na AF (dados atuais)</t>
        </is>
      </c>
      <c r="B22" s="16" t="inlineStr">
        <is>
          <t>Blancos = 0 (pior caso)</t>
        </is>
      </c>
      <c r="C22" s="17">
        <f>IF(NOT(ISNUMBER(C8)),"⚠ Preencha a AI primeiro",IF(F22&lt;=0,"✓ Aprovado direto! Qualquer nota na AF basta",IF(F22&gt;10,"✗ Reprovado mesmo com 10 na AF","Você precisa de "&amp;TEXT(ROUND(F22,2),"0.00")&amp;" na AF")))</f>
        <v/>
      </c>
      <c r="F22">
        <f>IF(NOT(ISNUMBER(C8)),-999,MAX((5-0.3*C8-0.15*IF(ISNUMBER(C16),C16,0)-0.1*IF(ISNUMBER(C12),C12,0))/0.45,(4-0.4*C8)/0.6))</f>
        <v/>
      </c>
    </row>
    <row r="23" ht="6" customHeight="1">
      <c r="A23" s="3" t="inlineStr">
        <is>
          <t>💡 Dica: preencha AI, quizzes e APS para ver a nota exata necessária na AF.</t>
        </is>
      </c>
    </row>
  </sheetData>
  <mergeCells count="8">
    <mergeCell ref="A1:D1"/>
    <mergeCell ref="A23:D23"/>
    <mergeCell ref="A6:D6"/>
    <mergeCell ref="A4:D4"/>
    <mergeCell ref="A3:D3"/>
    <mergeCell ref="A21:D21"/>
    <mergeCell ref="A15:D15"/>
    <mergeCell ref="A2:D2"/>
  </mergeCells>
  <conditionalFormatting sqref="C22">
    <cfRule type="expression" priority="1" dxfId="0">
      <formula>NOT(ISERROR(SEARCH("✓",C22)))</formula>
    </cfRule>
    <cfRule type="expression" priority="2" dxfId="1">
      <formula>NOT(ISERROR(SEARCH("✗",C22)))</formula>
    </cfRule>
  </conditionalFormatting>
  <conditionalFormatting sqref="C19">
    <cfRule type="expression" priority="3" dxfId="0">
      <formula>NOT(ISERROR(SEARCH("✓",C19)))</formula>
    </cfRule>
    <cfRule type="expression" priority="4" dxfId="1">
      <formula>NOT(ISERROR(SEARCH("⚠",C19)))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6" customHeight="1">
      <c r="A1" s="18" t="inlineStr">
        <is>
          <t>ECONOMETRIA — Sistema de Avaliação</t>
        </is>
      </c>
    </row>
    <row r="2" ht="18" customHeight="1">
      <c r="A2" s="19" t="inlineStr">
        <is>
          <t>Disciplina</t>
        </is>
      </c>
      <c r="B2" s="20" t="inlineStr">
        <is>
          <t>ECONOMETRIA</t>
        </is>
      </c>
    </row>
    <row r="3" ht="18" customHeight="1">
      <c r="A3" s="19" t="inlineStr">
        <is>
          <t>Turma</t>
        </is>
      </c>
      <c r="B3" s="20" t="inlineStr">
        <is>
          <t>ECONOMETRI_4ECOB</t>
        </is>
      </c>
    </row>
    <row r="4" ht="18" customHeight="1">
      <c r="A4" s="19" t="inlineStr">
        <is>
          <t>Professor</t>
        </is>
      </c>
      <c r="B4" s="20" t="inlineStr">
        <is>
          <t>Adriana Bruscato Bortoluzzo / Sérgio Ricardo Martins</t>
        </is>
      </c>
    </row>
    <row r="5" ht="18" customHeight="1">
      <c r="A5" s="19" t="inlineStr">
        <is>
          <t>Horário</t>
        </is>
      </c>
      <c r="B5" s="20" t="inlineStr">
        <is>
          <t>Quarta 16:30–18:30 | Sexta 14:15–16:15</t>
        </is>
      </c>
    </row>
    <row r="6" ht="6" customHeight="1"/>
    <row r="7">
      <c r="A7" s="21" t="inlineStr">
        <is>
          <t>COMPONENTES</t>
        </is>
      </c>
      <c r="B7" s="22" t="n"/>
    </row>
    <row r="8" ht="18" customHeight="1">
      <c r="A8" s="19" t="inlineStr">
        <is>
          <t>AI — Avaliação Interm.</t>
        </is>
      </c>
      <c r="B8" s="20" t="inlineStr">
        <is>
          <t>Peso 30% | Data: 25/03/2026</t>
        </is>
      </c>
    </row>
    <row r="9" ht="18" customHeight="1">
      <c r="A9" s="19" t="inlineStr">
        <is>
          <t>AF — Avaliação Final</t>
        </is>
      </c>
      <c r="B9" s="20" t="inlineStr">
        <is>
          <t>Peso 45% | Datas: 27/05 e 29/05/2026</t>
        </is>
      </c>
    </row>
    <row r="10" ht="18" customHeight="1">
      <c r="A10" s="19" t="inlineStr">
        <is>
          <t>MQ — Média de Quizzes</t>
        </is>
      </c>
      <c r="B10" s="20" t="inlineStr">
        <is>
          <t>Peso 15% | 3 quizzes (04/03, 20/03, 08/05) | SEM descarte</t>
        </is>
      </c>
    </row>
    <row r="11" ht="18" customHeight="1">
      <c r="A11" s="19" t="inlineStr">
        <is>
          <t>APS — Atividade em Aula</t>
        </is>
      </c>
      <c r="B11" s="20" t="inlineStr">
        <is>
          <t>Peso 10% | Nota 0 = reprovação automática</t>
        </is>
      </c>
    </row>
    <row r="12" ht="6" customHeight="1"/>
    <row r="13">
      <c r="A13" s="21" t="inlineStr">
        <is>
          <t>FÓRMULAS</t>
        </is>
      </c>
      <c r="B13" s="22" t="n"/>
    </row>
    <row r="14" ht="18" customHeight="1">
      <c r="A14" s="19" t="inlineStr">
        <is>
          <t>MP (Média de Provas)</t>
        </is>
      </c>
      <c r="B14" s="20" t="inlineStr">
        <is>
          <t>MP = 0,4 × AI + 0,6 × AF</t>
        </is>
      </c>
    </row>
    <row r="15" ht="18" customHeight="1">
      <c r="A15" s="19" t="inlineStr">
        <is>
          <t>MQ (Média de Quizzes)</t>
        </is>
      </c>
      <c r="B15" s="20" t="inlineStr">
        <is>
          <t>MQ = (Quiz1 + Quiz2 + Quiz3) / 3</t>
        </is>
      </c>
    </row>
    <row r="16" ht="34" customHeight="1">
      <c r="A16" s="19" t="inlineStr">
        <is>
          <t>MF (Média Final)</t>
        </is>
      </c>
      <c r="B16" s="20" t="inlineStr">
        <is>
          <t>SE MP &lt; 4 → MF = MP
SE MP ≥ 4 → MF = 0,75×MP + 0,15×MQ + 0,10×APS</t>
        </is>
      </c>
    </row>
    <row r="17" ht="6" customHeight="1"/>
    <row r="18">
      <c r="A18" s="21" t="inlineStr">
        <is>
          <t>APROVAÇÃO</t>
        </is>
      </c>
      <c r="B18" s="22" t="n"/>
    </row>
    <row r="19" ht="18" customHeight="1">
      <c r="A19" s="19" t="inlineStr">
        <is>
          <t>Condição principal</t>
        </is>
      </c>
      <c r="B19" s="20" t="inlineStr">
        <is>
          <t>MF ≥ 5,0</t>
        </is>
      </c>
    </row>
    <row r="20" ht="18" customHeight="1">
      <c r="A20" s="19" t="inlineStr">
        <is>
          <t>Condição adicional</t>
        </is>
      </c>
      <c r="B20" s="20" t="inlineStr">
        <is>
          <t>APS ≠ 0 (nota zero na APS implica reprovação, independente das demais notas)</t>
        </is>
      </c>
    </row>
    <row r="21" ht="18" customHeight="1">
      <c r="A21" s="19" t="inlineStr">
        <is>
          <t>Frequência</t>
        </is>
      </c>
      <c r="B21" s="20" t="inlineStr">
        <is>
          <t>Frequência ≥ 75% (reprovação automática por falta)</t>
        </is>
      </c>
    </row>
    <row r="22" ht="6" customHeight="1"/>
    <row r="23">
      <c r="A23" s="21" t="inlineStr">
        <is>
          <t>OBSERVAÇÕES</t>
        </is>
      </c>
      <c r="B23" s="22" t="n"/>
    </row>
    <row r="24" ht="18" customHeight="1">
      <c r="A24" s="19" t="inlineStr">
        <is>
          <t>Quizzes</t>
        </is>
      </c>
      <c r="B24" s="20" t="inlineStr">
        <is>
          <t>Cobram conteúdo acumulativo até a aula do quiz</t>
        </is>
      </c>
    </row>
    <row r="25" ht="18" customHeight="1">
      <c r="A25" s="19" t="inlineStr">
        <is>
          <t>Se MP &lt; 4</t>
        </is>
      </c>
      <c r="B25" s="20" t="inlineStr">
        <is>
          <t>Notas de quizzes e APS NÃO entram no cálculo da MF — aluno reprovado pelas provas</t>
        </is>
      </c>
    </row>
    <row r="26" ht="18" customHeight="1">
      <c r="A26" s="19" t="inlineStr">
        <is>
          <t>Prova Substitutiva</t>
        </is>
      </c>
      <c r="B26" s="20" t="inlineStr">
        <is>
          <t>Abrange toda a matéria de AI + AF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</cols>
  <sheetData>
    <row r="1" ht="26" customHeight="1">
      <c r="A1" s="18" t="inlineStr">
        <is>
          <t>ECONOMETRIA — Cronograma de Avaliações</t>
        </is>
      </c>
    </row>
    <row r="2">
      <c r="A2" s="6" t="inlineStr">
        <is>
          <t>Data</t>
        </is>
      </c>
      <c r="B2" s="6" t="inlineStr">
        <is>
          <t>Avaliação</t>
        </is>
      </c>
      <c r="C2" s="6" t="inlineStr">
        <is>
          <t>Peso</t>
        </is>
      </c>
      <c r="D2" s="6" t="inlineStr">
        <is>
          <t>Status</t>
        </is>
      </c>
    </row>
    <row r="3" ht="18" customHeight="1">
      <c r="A3" s="23" t="inlineStr">
        <is>
          <t>04/03/2026</t>
        </is>
      </c>
      <c r="B3" s="7" t="inlineStr">
        <is>
          <t>Quiz 1</t>
        </is>
      </c>
      <c r="C3" s="23" t="inlineStr">
        <is>
          <t>15% (parte da MQ)</t>
        </is>
      </c>
      <c r="D3" s="9" t="inlineStr"/>
    </row>
    <row r="4" ht="18" customHeight="1">
      <c r="A4" s="23" t="inlineStr">
        <is>
          <t>20/03/2026</t>
        </is>
      </c>
      <c r="B4" s="7" t="inlineStr">
        <is>
          <t>Quiz 2</t>
        </is>
      </c>
      <c r="C4" s="23" t="inlineStr">
        <is>
          <t>15% (parte da MQ)</t>
        </is>
      </c>
      <c r="D4" s="9" t="inlineStr"/>
    </row>
    <row r="5" ht="18" customHeight="1">
      <c r="A5" s="23" t="inlineStr">
        <is>
          <t>25/03/2026</t>
        </is>
      </c>
      <c r="B5" s="7" t="inlineStr">
        <is>
          <t>AI — Avaliação Intermediária</t>
        </is>
      </c>
      <c r="C5" s="23" t="inlineStr">
        <is>
          <t>30%</t>
        </is>
      </c>
      <c r="D5" s="9" t="inlineStr"/>
    </row>
    <row r="6" ht="18" customHeight="1">
      <c r="A6" s="23" t="inlineStr">
        <is>
          <t>08/05/2026</t>
        </is>
      </c>
      <c r="B6" s="7" t="inlineStr">
        <is>
          <t>Quiz 3</t>
        </is>
      </c>
      <c r="C6" s="23" t="inlineStr">
        <is>
          <t>15% (parte da MQ)</t>
        </is>
      </c>
      <c r="D6" s="9" t="inlineStr"/>
    </row>
    <row r="7" ht="18" customHeight="1">
      <c r="A7" s="23" t="inlineStr">
        <is>
          <t>27/05/2026</t>
        </is>
      </c>
      <c r="B7" s="7" t="inlineStr">
        <is>
          <t>AF — Avaliação Final (sessão 1)</t>
        </is>
      </c>
      <c r="C7" s="23" t="inlineStr">
        <is>
          <t>45%</t>
        </is>
      </c>
      <c r="D7" s="9" t="inlineStr"/>
    </row>
    <row r="8" ht="18" customHeight="1">
      <c r="A8" s="23" t="inlineStr">
        <is>
          <t>29/05/2026</t>
        </is>
      </c>
      <c r="B8" s="7" t="inlineStr">
        <is>
          <t>AF — Avaliação Final (sessão 2)</t>
        </is>
      </c>
      <c r="C8" s="23" t="inlineStr">
        <is>
          <t>45%</t>
        </is>
      </c>
      <c r="D8" s="9" t="inlineStr"/>
    </row>
    <row r="9" ht="18" customHeight="1">
      <c r="A9" s="23" t="inlineStr">
        <is>
          <t>A definir</t>
        </is>
      </c>
      <c r="B9" s="7" t="inlineStr">
        <is>
          <t>APS — Atividade em Aula (em grupo)</t>
        </is>
      </c>
      <c r="C9" s="23" t="inlineStr">
        <is>
          <t>10%</t>
        </is>
      </c>
      <c r="D9" s="9" t="inlineStr">
        <is>
          <t>Realizada em sala</t>
        </is>
      </c>
    </row>
    <row r="10" ht="8" customHeight="1"/>
    <row r="11">
      <c r="A11" s="3" t="inlineStr">
        <is>
          <t>Preencha a coluna 'Status' com: Feito ✓ | Pendente | Faltei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2026-05-14T20:38:32Z</dcterms:created>
  <dcterms:modified xmlns:dcterms="http://purl.org/dc/terms/" xmlns:xsi="http://www.w3.org/2001/XMLSchema-instance" xsi:type="dcterms:W3CDTF">2026-05-14T20:38:32Z</dcterms:modified>
</cp:coreProperties>
</file>